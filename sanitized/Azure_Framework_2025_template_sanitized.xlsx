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5" yWindow="2685" windowWidth="15375" windowHeight="7785" tabRatio="600" firstSheet="15" activeTab="15" autoFilterDateGrouping="1"/>
  </bookViews>
  <sheets>
    <sheet xmlns:r="http://schemas.openxmlformats.org/officeDocument/2006/relationships" name="Introduction" sheetId="1" state="visible" r:id="rId1"/>
    <sheet xmlns:r="http://schemas.openxmlformats.org/officeDocument/2006/relationships" name="Summary" sheetId="2" state="visible" r:id="rId2"/>
    <sheet xmlns:r="http://schemas.openxmlformats.org/officeDocument/2006/relationships" name="Azure Landing Questions" sheetId="3" state="visible" r:id="rId3"/>
    <sheet xmlns:r="http://schemas.openxmlformats.org/officeDocument/2006/relationships" name="Setup-Questions" sheetId="4" state="visible" r:id="rId4"/>
    <sheet xmlns:r="http://schemas.openxmlformats.org/officeDocument/2006/relationships" name="Network security" sheetId="5" state="visible" r:id="rId5"/>
    <sheet xmlns:r="http://schemas.openxmlformats.org/officeDocument/2006/relationships" name="Identity management" sheetId="6" state="visible" r:id="rId6"/>
    <sheet xmlns:r="http://schemas.openxmlformats.org/officeDocument/2006/relationships" name="Privileged access" sheetId="7" state="visible" r:id="rId7"/>
    <sheet xmlns:r="http://schemas.openxmlformats.org/officeDocument/2006/relationships" name="Data protection" sheetId="8" state="visible" r:id="rId8"/>
    <sheet xmlns:r="http://schemas.openxmlformats.org/officeDocument/2006/relationships" name="Asset management" sheetId="9" state="visible" r:id="rId9"/>
    <sheet xmlns:r="http://schemas.openxmlformats.org/officeDocument/2006/relationships" name="Logging and threat detection" sheetId="10" state="visible" r:id="rId10"/>
    <sheet xmlns:r="http://schemas.openxmlformats.org/officeDocument/2006/relationships" name="Incident response" sheetId="11" state="visible" r:id="rId11"/>
    <sheet xmlns:r="http://schemas.openxmlformats.org/officeDocument/2006/relationships" name="Posture and vulnerability manag" sheetId="12" state="visible" r:id="rId12"/>
    <sheet xmlns:r="http://schemas.openxmlformats.org/officeDocument/2006/relationships" name="Endpoint security" sheetId="13" state="visible" r:id="rId13"/>
    <sheet xmlns:r="http://schemas.openxmlformats.org/officeDocument/2006/relationships" name="Backup and recovery" sheetId="14" state="visible" r:id="rId14"/>
    <sheet xmlns:r="http://schemas.openxmlformats.org/officeDocument/2006/relationships" name="DevOps security" sheetId="15" state="visible" r:id="rId15"/>
    <sheet xmlns:r="http://schemas.openxmlformats.org/officeDocument/2006/relationships" name="Governance and strategy" sheetId="16" state="visible" r:id="rId16"/>
    <sheet xmlns:r="http://schemas.openxmlformats.org/officeDocument/2006/relationships" name="Sources" sheetId="17" state="visible" r:id="rId17"/>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charset val="1"/>
      <color rgb="FF242424"/>
      <sz val="11"/>
    </font>
    <font>
      <name val="Aptos Narrow"/>
      <family val="2"/>
      <b val="1"/>
      <color theme="1"/>
      <sz val="12"/>
      <scheme val="minor"/>
    </font>
    <font>
      <name val="Calibri"/>
      <family val="2"/>
      <color rgb="FF000000"/>
      <sz val="11"/>
    </font>
    <font>
      <name val="Arial Nova Light"/>
      <family val="2"/>
      <color indexed="8"/>
      <sz val="11"/>
    </font>
    <font>
      <name val="Aptos Narrow"/>
      <family val="2"/>
      <b val="1"/>
      <color theme="1"/>
      <sz val="11"/>
      <scheme val="minor"/>
    </font>
    <font>
      <name val="Aptos Display"/>
      <color theme="1"/>
      <sz val="11"/>
      <scheme val="major"/>
    </font>
    <font>
      <name val="Aptos Display"/>
      <color indexed="8"/>
      <sz val="11"/>
      <scheme val="major"/>
    </font>
    <font>
      <name val="Aptos Narrow"/>
      <color indexed="8"/>
      <sz val="11"/>
      <scheme val="minor"/>
    </font>
    <font>
      <name val="Aptos Narrow"/>
      <color theme="1"/>
      <sz val="11"/>
      <scheme val="minor"/>
    </font>
    <font>
      <name val="Aptos Narrow"/>
      <family val="2"/>
      <color theme="10"/>
      <sz val="11"/>
      <u val="single"/>
      <scheme val="minor"/>
    </font>
    <font>
      <name val="Aptos Narrow"/>
      <b val="1"/>
      <color rgb="FF000000"/>
      <sz val="11"/>
    </font>
    <font>
      <name val="Aptos Narrow"/>
      <color rgb="FF000000"/>
      <sz val="11"/>
    </font>
  </fonts>
  <fills count="8">
    <fill>
      <patternFill/>
    </fill>
    <fill>
      <patternFill patternType="gray125"/>
    </fill>
    <fill>
      <patternFill patternType="solid">
        <fgColor theme="2"/>
        <bgColor indexed="64"/>
      </patternFill>
    </fill>
    <fill>
      <patternFill patternType="solid">
        <fgColor theme="0" tint="-0.0499893185216834"/>
        <bgColor indexed="64"/>
      </patternFill>
    </fill>
    <fill>
      <patternFill patternType="solid">
        <fgColor theme="0"/>
        <bgColor indexed="64"/>
      </patternFill>
    </fill>
    <fill>
      <patternFill patternType="solid">
        <fgColor theme="4" tint="0.7999816888943144"/>
        <bgColor indexed="64"/>
      </patternFill>
    </fill>
    <fill>
      <patternFill patternType="solid">
        <fgColor rgb="FFFFC000"/>
        <bgColor indexed="64"/>
      </patternFill>
    </fill>
    <fill>
      <patternFill patternType="solid">
        <fgColor theme="5" tint="0.7999816888943144"/>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xf numFmtId="0" fontId="10" fillId="0" borderId="0"/>
  </cellStyleXfs>
  <cellXfs count="84">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0" applyAlignment="1" pivotButton="0" quotePrefix="0" xfId="0">
      <alignment horizontal="left" vertical="top"/>
    </xf>
    <xf numFmtId="0" fontId="2" fillId="2"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vertical="top"/>
    </xf>
    <xf numFmtId="0" fontId="1" fillId="0" borderId="1" applyAlignment="1" pivotButton="0" quotePrefix="0" xfId="0">
      <alignment vertical="top"/>
    </xf>
    <xf numFmtId="0" fontId="3" fillId="0" borderId="1" applyAlignment="1" pivotButton="0" quotePrefix="0" xfId="0">
      <alignment vertical="top" wrapText="1"/>
    </xf>
    <xf numFmtId="0" fontId="0" fillId="0" borderId="4" applyAlignment="1" pivotButton="0" quotePrefix="0" xfId="0">
      <alignment horizontal="left" vertical="top" wrapText="1"/>
    </xf>
    <xf numFmtId="0" fontId="0" fillId="0" borderId="3" applyAlignment="1" pivotButton="0" quotePrefix="0" xfId="0">
      <alignment vertical="top" wrapText="1"/>
    </xf>
    <xf numFmtId="0" fontId="0" fillId="0" borderId="0"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wrapText="1"/>
    </xf>
    <xf numFmtId="0" fontId="0" fillId="0" borderId="6" applyAlignment="1" pivotButton="0" quotePrefix="0" xfId="0">
      <alignment vertical="top" wrapText="1"/>
    </xf>
    <xf numFmtId="0" fontId="1" fillId="0" borderId="1" applyAlignment="1" pivotButton="0" quotePrefix="0" xfId="0">
      <alignment horizontal="left" vertical="top"/>
    </xf>
    <xf numFmtId="0" fontId="0" fillId="0" borderId="1" applyAlignment="1" pivotButton="0" quotePrefix="0" xfId="0">
      <alignment wrapText="1"/>
    </xf>
    <xf numFmtId="0" fontId="0" fillId="0" borderId="2" applyAlignment="1" pivotButton="0" quotePrefix="0" xfId="0">
      <alignment vertical="top"/>
    </xf>
    <xf numFmtId="0" fontId="0" fillId="0" borderId="2" applyAlignment="1" pivotButton="0" quotePrefix="0" xfId="0">
      <alignment vertical="top" wrapText="1"/>
    </xf>
    <xf numFmtId="0" fontId="0" fillId="0" borderId="2" applyAlignment="1" pivotButton="0" quotePrefix="0" xfId="0">
      <alignment horizontal="left" vertical="top" wrapText="1"/>
    </xf>
    <xf numFmtId="0" fontId="0" fillId="0" borderId="2" applyAlignment="1" pivotButton="0" quotePrefix="0" xfId="0">
      <alignment horizontal="left" vertical="top"/>
    </xf>
    <xf numFmtId="0" fontId="0" fillId="0" borderId="7" applyAlignment="1" pivotButton="0" quotePrefix="0" xfId="0">
      <alignment horizontal="left" vertical="top" wrapText="1"/>
    </xf>
    <xf numFmtId="0" fontId="0" fillId="0" borderId="2" pivotButton="0" quotePrefix="0" xfId="0"/>
    <xf numFmtId="0" fontId="0" fillId="0" borderId="3" pivotButton="0" quotePrefix="0" xfId="0"/>
    <xf numFmtId="0" fontId="3" fillId="0" borderId="3" applyAlignment="1" pivotButton="0" quotePrefix="0" xfId="0">
      <alignment vertical="top" wrapText="1"/>
    </xf>
    <xf numFmtId="0" fontId="3" fillId="0" borderId="2" applyAlignment="1" pivotButton="0" quotePrefix="0" xfId="0">
      <alignment vertical="top" wrapText="1"/>
    </xf>
    <xf numFmtId="0" fontId="3" fillId="0" borderId="5" applyAlignment="1" pivotButton="0" quotePrefix="0" xfId="0">
      <alignment vertical="top" wrapText="1"/>
    </xf>
    <xf numFmtId="0" fontId="4" fillId="0" borderId="1" applyAlignment="1" pivotButton="0" quotePrefix="0" xfId="0">
      <alignment vertical="top" wrapText="1"/>
    </xf>
    <xf numFmtId="0" fontId="4" fillId="0" borderId="3" applyAlignment="1" pivotButton="0" quotePrefix="0" xfId="0">
      <alignment vertical="top" wrapText="1"/>
    </xf>
    <xf numFmtId="0" fontId="1" fillId="0" borderId="2" applyAlignment="1" pivotButton="0" quotePrefix="0" xfId="0">
      <alignment vertical="top"/>
    </xf>
    <xf numFmtId="0" fontId="0" fillId="0" borderId="4" pivotButton="0" quotePrefix="0" xfId="0"/>
    <xf numFmtId="0" fontId="0" fillId="0" borderId="3" applyAlignment="1" pivotButton="0" quotePrefix="0" xfId="0">
      <alignment horizontal="left" vertical="top"/>
    </xf>
    <xf numFmtId="0" fontId="0" fillId="0" borderId="8" pivotButton="0" quotePrefix="0" xfId="0"/>
    <xf numFmtId="0" fontId="2" fillId="3" borderId="1"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wrapText="1"/>
    </xf>
    <xf numFmtId="0" fontId="5"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0" borderId="4" applyAlignment="1" pivotButton="0" quotePrefix="0" xfId="0">
      <alignment horizontal="left" vertical="top"/>
    </xf>
    <xf numFmtId="0" fontId="2" fillId="3" borderId="2" applyAlignment="1" pivotButton="0" quotePrefix="0" xfId="0">
      <alignment horizontal="left" vertical="top"/>
    </xf>
    <xf numFmtId="0" fontId="6" fillId="0" borderId="4" applyAlignment="1" pivotButton="0" quotePrefix="0" xfId="0">
      <alignment vertical="top"/>
    </xf>
    <xf numFmtId="0" fontId="6" fillId="0" borderId="1" pivotButton="0" quotePrefix="0" xfId="0"/>
    <xf numFmtId="0" fontId="6" fillId="0" borderId="3" pivotButton="0" quotePrefix="0" xfId="0"/>
    <xf numFmtId="0" fontId="6" fillId="0" borderId="0" pivotButton="0" quotePrefix="0" xfId="0"/>
    <xf numFmtId="0" fontId="8" fillId="0" borderId="1" applyAlignment="1" pivotButton="0" quotePrefix="0" xfId="0">
      <alignment vertical="top" wrapText="1"/>
    </xf>
    <xf numFmtId="0" fontId="9" fillId="0" borderId="4" applyAlignment="1" pivotButton="0" quotePrefix="0" xfId="0">
      <alignment vertical="top" wrapText="1"/>
    </xf>
    <xf numFmtId="0" fontId="7" fillId="0" borderId="9" applyAlignment="1" pivotButton="0" quotePrefix="0" xfId="0">
      <alignment vertical="top" wrapText="1"/>
    </xf>
    <xf numFmtId="0" fontId="0" fillId="0" borderId="2" applyAlignment="1" pivotButton="0" quotePrefix="0" xfId="0">
      <alignment wrapText="1"/>
    </xf>
    <xf numFmtId="0" fontId="2" fillId="2"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5" applyAlignment="1" pivotButton="0" quotePrefix="0" xfId="0">
      <alignment horizontal="left" vertical="top"/>
    </xf>
    <xf numFmtId="0" fontId="10" fillId="0" borderId="1" applyAlignment="1" pivotButton="0" quotePrefix="0" xfId="1">
      <alignment wrapText="1"/>
    </xf>
    <xf numFmtId="0" fontId="10" fillId="0" borderId="1" pivotButton="0" quotePrefix="0" xfId="1"/>
    <xf numFmtId="0" fontId="5" fillId="5" borderId="1" pivotButton="0" quotePrefix="0" xfId="0"/>
    <xf numFmtId="0" fontId="0" fillId="2" borderId="1" pivotButton="0" quotePrefix="0" xfId="0"/>
    <xf numFmtId="0" fontId="6" fillId="0" borderId="4" pivotButton="0" quotePrefix="0" xfId="0"/>
    <xf numFmtId="0" fontId="0" fillId="0" borderId="8" applyAlignment="1" pivotButton="0" quotePrefix="0" xfId="0">
      <alignment horizontal="left" vertical="top" wrapText="1"/>
    </xf>
    <xf numFmtId="0" fontId="2" fillId="3" borderId="3" applyAlignment="1" pivotButton="0" quotePrefix="0" xfId="0">
      <alignment horizontal="left" vertical="top" wrapText="1"/>
    </xf>
    <xf numFmtId="0" fontId="0" fillId="6" borderId="1" applyAlignment="1" pivotButton="0" quotePrefix="0" xfId="0">
      <alignment horizontal="left" vertical="top" wrapText="1"/>
    </xf>
    <xf numFmtId="0" fontId="0" fillId="6" borderId="4" applyAlignment="1" pivotButton="0" quotePrefix="0" xfId="0">
      <alignment horizontal="left" vertical="top"/>
    </xf>
    <xf numFmtId="0" fontId="0" fillId="6" borderId="1" pivotButton="0" quotePrefix="0" xfId="0"/>
    <xf numFmtId="0" fontId="0" fillId="6" borderId="0" pivotButton="0" quotePrefix="0" xfId="0"/>
    <xf numFmtId="0" fontId="2" fillId="7" borderId="2" applyAlignment="1" pivotButton="0" quotePrefix="0" xfId="0">
      <alignment horizontal="center" vertical="center" wrapText="1"/>
    </xf>
    <xf numFmtId="0" fontId="0" fillId="7" borderId="3" applyAlignment="1" pivotButton="0" quotePrefix="0" xfId="0">
      <alignment vertical="top" wrapText="1"/>
    </xf>
    <xf numFmtId="0" fontId="0" fillId="7" borderId="1" applyAlignment="1" pivotButton="0" quotePrefix="0" xfId="0">
      <alignment vertical="top" wrapText="1"/>
    </xf>
    <xf numFmtId="0" fontId="0" fillId="7" borderId="5" applyAlignment="1" pivotButton="0" quotePrefix="0" xfId="0">
      <alignment vertical="top" wrapText="1"/>
    </xf>
    <xf numFmtId="0" fontId="0" fillId="7" borderId="2" applyAlignment="1" pivotButton="0" quotePrefix="0" xfId="0">
      <alignment vertical="top" wrapText="1"/>
    </xf>
    <xf numFmtId="0" fontId="0" fillId="7" borderId="2" applyAlignment="1" pivotButton="0" quotePrefix="0" xfId="0">
      <alignment vertical="top"/>
    </xf>
    <xf numFmtId="0" fontId="0" fillId="7" borderId="1" applyAlignment="1" pivotButton="0" quotePrefix="0" xfId="0">
      <alignment vertical="top"/>
    </xf>
    <xf numFmtId="0" fontId="0" fillId="7" borderId="0" pivotButton="0" quotePrefix="0" xfId="0"/>
    <xf numFmtId="0" fontId="0" fillId="7" borderId="4" applyAlignment="1" pivotButton="0" quotePrefix="0" xfId="0">
      <alignment vertical="top"/>
    </xf>
    <xf numFmtId="0" fontId="0" fillId="7" borderId="1" pivotButton="0" quotePrefix="0" xfId="0"/>
    <xf numFmtId="0" fontId="2" fillId="7" borderId="2" applyAlignment="1" pivotButton="0" quotePrefix="0" xfId="0">
      <alignment horizontal="left" vertical="top" wrapText="1"/>
    </xf>
    <xf numFmtId="0" fontId="0" fillId="7" borderId="3" applyAlignment="1" pivotButton="0" quotePrefix="0" xfId="0">
      <alignment horizontal="left" vertical="top" wrapText="1"/>
    </xf>
    <xf numFmtId="0" fontId="0" fillId="7" borderId="4" applyAlignment="1" pivotButton="0" quotePrefix="0" xfId="0">
      <alignment horizontal="left" vertical="top" wrapText="1"/>
    </xf>
    <xf numFmtId="0" fontId="0" fillId="7" borderId="5" applyAlignment="1" pivotButton="0" quotePrefix="0" xfId="0">
      <alignment horizontal="left" vertical="top" wrapText="1"/>
    </xf>
    <xf numFmtId="0" fontId="0" fillId="7" borderId="7" applyAlignment="1" pivotButton="0" quotePrefix="0" xfId="0">
      <alignment horizontal="left" vertical="top" wrapText="1"/>
    </xf>
    <xf numFmtId="0" fontId="0" fillId="7" borderId="1" applyAlignment="1" pivotButton="0" quotePrefix="0" xfId="0">
      <alignment horizontal="left" vertical="top" wrapText="1"/>
    </xf>
    <xf numFmtId="0" fontId="12" fillId="0" borderId="0"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radarChart>
        <radarStyle val="marker"/>
        <varyColors val="0"/>
        <ser>
          <idx val="0"/>
          <order val="0"/>
          <tx>
            <strRef>
              <f>Summary!$B$5</f>
              <strCache>
                <ptCount val="1"/>
                <pt idx="0">
                  <v>35</v>
                </pt>
              </strCache>
            </strRef>
          </tx>
          <spPr>
            <a:ln xmlns:a="http://schemas.openxmlformats.org/drawingml/2006/main" w="28575" cap="rnd">
              <a:solidFill>
                <a:srgbClr val="637CEF"/>
              </a:solidFill>
              <a:prstDash val="solid"/>
              <a:round/>
            </a:ln>
          </spPr>
          <marker>
            <symbol val="none"/>
            <spPr>
              <a:ln xmlns:a="http://schemas.openxmlformats.org/drawingml/2006/main">
                <a:prstDash val="solid"/>
              </a:ln>
            </spPr>
          </marker>
          <cat>
            <strRef>
              <f>Summary!$A$6:$A$8</f>
              <strCache>
                <ptCount val="3"/>
                <pt idx="0">
                  <v>Asset management</v>
                </pt>
                <pt idx="1">
                  <v>Logging and threat detection</v>
                </pt>
                <pt idx="2">
                  <v>Incident response</v>
                </pt>
              </strCache>
            </strRef>
          </cat>
          <val>
            <numRef>
              <f>Summary!$B$6:$B$8</f>
              <numCache>
                <formatCode>General</formatCode>
                <ptCount val="3"/>
                <pt idx="0">
                  <v>23</v>
                </pt>
                <pt idx="1">
                  <v>38</v>
                </pt>
                <pt idx="2">
                  <v>29</v>
                </pt>
              </numCache>
            </numRef>
          </val>
        </ser>
        <dLbls>
          <showLegendKey val="0"/>
          <showVal val="0"/>
          <showCatName val="0"/>
          <showSerName val="0"/>
          <showPercent val="0"/>
          <showBubbleSize val="0"/>
        </dLbls>
        <axId val="762005000"/>
        <axId val="762007048"/>
      </radarChart>
      <catAx>
        <axId val="76200500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762007048"/>
        <crosses val="autoZero"/>
        <auto val="1"/>
        <lblAlgn val="ctr"/>
        <lblOffset val="100"/>
        <noMultiLvlLbl val="0"/>
      </catAx>
      <valAx>
        <axId val="76200704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76200500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2</col>
      <colOff>2600325</colOff>
      <row>43</row>
      <rowOff>9525</rowOff>
    </from>
    <to>
      <col>5</col>
      <colOff>1143000</colOff>
      <row>60</row>
      <rowOff>19050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17.xml.rels><Relationships xmlns="http://schemas.openxmlformats.org/package/2006/relationships"><Relationship Type="http://schemas.openxmlformats.org/officeDocument/2006/relationships/hyperlink" Target="https://learn.microsoft.com/en-us/assessments/8fefc6d5-97ac-42b3-8e97-d82701e55bab/sessions/976e7e9d-4efa-48b8-b493-768d4283abc7?mode=guidance&amp;id=8fefc6d5-97ac-42b3-8e97-d82701e55bab&amp;session=976e7e9d-4efa-48b8-b493-768d4283abc7&amp;source=docs&amp;tab=tab-answersummary" TargetMode="External" Id="rId1"/><Relationship Type="http://schemas.openxmlformats.org/officeDocument/2006/relationships/hyperlink" Target="https://learn.microsoft.com/en-us/security/benchmark/azure/mcsb-network-security" TargetMode="External" Id="rId2"/></Relationships>
</file>

<file path=xl/worksheets/sheet1.xml><?xml version="1.0" encoding="utf-8"?>
<worksheet xmlns="http://schemas.openxmlformats.org/spreadsheetml/2006/main">
  <sheetPr>
    <outlinePr summaryBelow="1" summaryRight="1"/>
    <pageSetUpPr/>
  </sheetPr>
  <dimension ref="A1:G41"/>
  <sheetViews>
    <sheetView topLeftCell="A31" workbookViewId="0">
      <selection activeCell="J24" sqref="J24"/>
    </sheetView>
  </sheetViews>
  <sheetFormatPr baseColWidth="8" defaultRowHeight="15"/>
  <cols>
    <col width="18.140625" customWidth="1" min="6" max="6"/>
    <col width="99.5703125" customWidth="1" min="7" max="7"/>
  </cols>
  <sheetData>
    <row r="1"/>
    <row r="2"/>
    <row r="3"/>
    <row r="4"/>
    <row r="5"/>
    <row r="6"/>
    <row r="7"/>
    <row r="8"/>
    <row r="9"/>
    <row r="10"/>
    <row r="11"/>
    <row r="12"/>
    <row r="13"/>
    <row r="14"/>
    <row r="15"/>
    <row r="16"/>
    <row r="17"/>
    <row r="18" ht="15" customHeight="1">
      <c r="A18" s="83" t="inlineStr">
        <is>
          <t>Introduction: The assessment for Azure security establishes a unified framework of governance, identity, networking, data protection, and operational controls. It strategically aligns with international
standards to enhance security maturity, minimize risks, ensure regulatory compliance, and
enable secure cloud transformation while supporting business resilience and long-term
operational scalability.
-------------------------------------------------------------------------------------------------
Sections:
1. Network security - Secures and segments networks, controls traffic, prevents attacks, secures DNS and private connectivity for cloud.
2. Identity Management - Establishes secure identities, authentication, single sign-on, conditional access, managed identities and anomaly monitoring across environments.
3. Privileged Access - Protects administrative accounts and models, enforces least privilege, just-in-time access, privileged workstation controls, and oversight.
4. Data Protection - Discovers, classifies, encrypts, and monitors sensitive data; enforces keys, access controls, and data-loss prevention mechanisms.
5. Asset Management - Maintains inventory, tracks resources, governs service approvals, and enforces approved-service and application usage controls consistently.
6. Logging and Threat Detection - Collects, centralizes, retains logs; enables threat detection, high-quality alerts, SIEM integration, and investigative analytics capabilities.
7. Incident Response - Prepares for, detects, analyzes, contains, and recovers from incidents; automates response and conducts post-incident activities.
8. Posture and Vulnerability Management - Assesses configuration and vulnerabilities, tracks posture, performs scanning, prioritizes remediation, and automates corrective actions continuously.
9. Endpoint Security - Deploys EDR and anti-malware, secures endpoints, monitors behavior, and integrates endpoint telemetry into detection platforms.
10. Backup and Recovery - Ensures backups, validates restores, protects backup integrity, defines RPO/RTO, and supports disaster recovery planning activities.
11. DevOps Security - Integrates security into CI/CD, secures artifacts, enforces SAST/DAST, supply-chain checks, and pipeline hardening through automation.
12. Governance and Strategy - Defines security strategy, governance, roles, policies, multi-cloud strategy, and measurable compliance for sustained assurance oversight.
-------------------------------------------------------------------------------------------------
Scope: TBD</t>
        </is>
      </c>
    </row>
    <row r="19"/>
    <row r="20"/>
    <row r="21"/>
    <row r="22"/>
    <row r="23"/>
    <row r="24"/>
    <row r="25"/>
    <row r="26"/>
    <row r="27"/>
    <row r="28"/>
    <row r="29"/>
    <row r="30"/>
    <row r="31"/>
    <row r="32"/>
    <row r="33"/>
    <row r="34" ht="409.5" customHeight="1"/>
    <row r="35"/>
    <row r="36"/>
    <row r="37"/>
    <row r="38"/>
    <row r="39"/>
    <row r="40"/>
    <row r="41" ht="224.25" customHeight="1"/>
  </sheetData>
  <mergeCells count="1">
    <mergeCell ref="A18:G4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C19" sqref="C19"/>
    </sheetView>
  </sheetViews>
  <sheetFormatPr baseColWidth="8" defaultRowHeight="15"/>
  <cols>
    <col width="30.85546875" customWidth="1" min="1" max="1"/>
    <col width="26.5703125" customWidth="1" min="2" max="2"/>
    <col width="39.28515625" customWidth="1" min="3" max="3"/>
    <col width="47.85546875" customWidth="1" min="4" max="4"/>
    <col width="29.42578125" customWidth="1" min="5" max="5"/>
    <col width="21" customWidth="1" min="6" max="6"/>
    <col width="14" customWidth="1" min="7" max="7"/>
  </cols>
  <sheetData>
    <row r="1">
      <c r="A1" s="58" t="inlineStr">
        <is>
          <t>Sheet Names</t>
        </is>
      </c>
      <c r="B1" s="58" t="inlineStr">
        <is>
          <t xml:space="preserve">Total Controls </t>
        </is>
      </c>
      <c r="C1" s="58" t="inlineStr">
        <is>
          <t>Count of Compliant</t>
        </is>
      </c>
      <c r="D1" s="58" t="inlineStr">
        <is>
          <t>Count of Partial compliant</t>
        </is>
      </c>
      <c r="E1" s="58" t="inlineStr">
        <is>
          <t>Count of Non compliant</t>
        </is>
      </c>
      <c r="F1" s="58" t="inlineStr">
        <is>
          <t>Percentage</t>
        </is>
      </c>
      <c r="G1" s="58" t="inlineStr">
        <is>
          <t>Scale (out of 5)</t>
        </is>
      </c>
    </row>
    <row r="2">
      <c r="A2" s="19" t="inlineStr">
        <is>
          <t>Network security</t>
        </is>
      </c>
      <c r="B2" s="1">
        <f>SUM('Network security'!M2:M100)</f>
        <v/>
      </c>
      <c r="C2" s="1">
        <f>COUNTIF('Network security'!O:O,"Complete")</f>
        <v/>
      </c>
      <c r="D2" s="1">
        <f>COUNTIF('Network security'!O:O,"Partial")</f>
        <v/>
      </c>
      <c r="E2" s="1">
        <f>COUNTIF('Network security'!O:O,"Non-Compliant")</f>
        <v/>
      </c>
      <c r="F2" s="1">
        <f>ROUND(IFERROR((((C2+0.5*D2)/(C2+D2+E2))*100),0), 1)</f>
        <v/>
      </c>
      <c r="G2" s="1">
        <f>ROUND(IFERROR(((F2/100)*5),0), 1)</f>
        <v/>
      </c>
    </row>
    <row r="3">
      <c r="A3" s="19" t="inlineStr">
        <is>
          <t>Identity management</t>
        </is>
      </c>
      <c r="B3" s="1">
        <f>SUM('Identity management'!M2:M102)</f>
        <v/>
      </c>
      <c r="C3" s="1">
        <f>COUNTIF('Identity management'!O:O,"Complete")</f>
        <v/>
      </c>
      <c r="D3" s="1">
        <f>COUNTIF('Identity management'!O:O,"Partial")</f>
        <v/>
      </c>
      <c r="E3" s="1">
        <f>COUNTIF('Identity management'!O:O,"Non-Compliant")</f>
        <v/>
      </c>
      <c r="F3" s="1">
        <f>ROUND(IFERROR((((C3+0.5*D3)/(C3+D3+E3))*100),0), 1)</f>
        <v/>
      </c>
      <c r="G3" s="1">
        <f>ROUND(IFERROR(((F3/100)*5),0), 1)</f>
        <v/>
      </c>
    </row>
    <row r="4">
      <c r="A4" s="1" t="inlineStr">
        <is>
          <t>Privileged access</t>
        </is>
      </c>
      <c r="B4" s="1">
        <f>SUM('Privileged access'!L2:L102)</f>
        <v/>
      </c>
      <c r="C4" s="1">
        <f>COUNTIF('Privileged access'!N:N,"Complete")</f>
        <v/>
      </c>
      <c r="D4" s="1">
        <f>COUNTIF('Privileged access'!N:N,"Partial")</f>
        <v/>
      </c>
      <c r="E4" s="1">
        <f>COUNTIF('Privileged access'!N:N,"Non-Compliant")</f>
        <v/>
      </c>
      <c r="F4" s="1">
        <f>ROUND(IFERROR((((C4+0.5*D4)/(C4+D4+E4))*100),0), 1)</f>
        <v/>
      </c>
      <c r="G4" s="1">
        <f>ROUND(IFERROR(((F4/100)*5),0), 1)</f>
        <v/>
      </c>
    </row>
    <row r="5">
      <c r="A5" s="1" t="inlineStr">
        <is>
          <t>Data protection</t>
        </is>
      </c>
      <c r="B5" s="1">
        <f>SUM('Data protection'!M2:M103)</f>
        <v/>
      </c>
      <c r="C5" s="1">
        <f>COUNTIF('Data protection'!O:O,"Complete")</f>
        <v/>
      </c>
      <c r="D5" s="1">
        <f>COUNTIF('Data protection'!O:O,"Partial")</f>
        <v/>
      </c>
      <c r="E5" s="1">
        <f>COUNTIF('Data protection'!O:O,"Non-Compliant")</f>
        <v/>
      </c>
      <c r="F5" s="1">
        <f>ROUND(IFERROR((((C5+0.5*D5)/(C5+D5+E5))*100),0), 1)</f>
        <v/>
      </c>
      <c r="G5" s="1">
        <f>ROUND(IFERROR(((F5/100)*5),0), 1)</f>
        <v/>
      </c>
    </row>
    <row r="6">
      <c r="A6" s="1" t="inlineStr">
        <is>
          <t>Asset management</t>
        </is>
      </c>
      <c r="B6" s="1">
        <f>SUM('Asset management'!L2:L100)</f>
        <v/>
      </c>
      <c r="C6" s="1">
        <f>COUNTIF('Asset management'!N:N,"Complete")</f>
        <v/>
      </c>
      <c r="D6" s="1">
        <f>COUNTIF('Asset management'!N:N,"Partial")</f>
        <v/>
      </c>
      <c r="E6" s="1">
        <f>COUNTIF('Asset management'!N:N,"Non-Compliant")</f>
        <v/>
      </c>
      <c r="F6" s="1">
        <f>ROUND(IFERROR((((C6+0.5*D6)/(C6+D6+E6))*100),0), 1)</f>
        <v/>
      </c>
      <c r="G6" s="1">
        <f>ROUND(IFERROR(((F6/100)*5),0), 1)</f>
        <v/>
      </c>
    </row>
    <row r="7">
      <c r="A7" s="1" t="inlineStr">
        <is>
          <t>Logging and threat detection</t>
        </is>
      </c>
      <c r="B7" s="1">
        <f>SUM('Logging and threat detection'!M2:M105)</f>
        <v/>
      </c>
      <c r="C7" s="1">
        <f>COUNTIF('Logging and threat detection'!O:O,"Complete")</f>
        <v/>
      </c>
      <c r="D7" s="1">
        <f>COUNTIF('Logging and threat detection'!O:O,"Partial")</f>
        <v/>
      </c>
      <c r="E7" s="1">
        <f>COUNTIF('Logging and threat detection'!O:O,"Non-Compliant")</f>
        <v/>
      </c>
      <c r="F7" s="1">
        <f>ROUND(IFERROR((((C7+0.5*D7)/(C7+D7+E7))*100),0), 1)</f>
        <v/>
      </c>
      <c r="G7" s="1">
        <f>ROUND(IFERROR(((F7/100)*5),0), 1)</f>
        <v/>
      </c>
    </row>
    <row r="8">
      <c r="A8" s="1" t="inlineStr">
        <is>
          <t>Incident response</t>
        </is>
      </c>
      <c r="B8" s="1">
        <f>SUM('Incident response'!L2:L106)</f>
        <v/>
      </c>
      <c r="C8" s="1">
        <f>COUNTIF('Incident response'!N:N,"Complete")</f>
        <v/>
      </c>
      <c r="D8" s="1">
        <f>COUNTIF('Incident response'!N:N,"Partial")</f>
        <v/>
      </c>
      <c r="E8" s="1">
        <f>COUNTIF('Incident response'!N:N,"Non-Compliant")</f>
        <v/>
      </c>
      <c r="F8" s="1">
        <f>ROUND(IFERROR((((C8+0.5*D8)/(C8+D8+E8))*100),0), 1)</f>
        <v/>
      </c>
      <c r="G8" s="1">
        <f>ROUND(IFERROR(((F8/100)*5),0), 1)</f>
        <v/>
      </c>
    </row>
    <row r="9">
      <c r="A9" s="1" t="inlineStr">
        <is>
          <t>Posture and vulnerability manag</t>
        </is>
      </c>
      <c r="B9" s="1">
        <f>SUM('Posture and vulnerability manag'!M2:M107)</f>
        <v/>
      </c>
      <c r="C9" s="1">
        <f>COUNTIF('Posture and vulnerability manag'!O:O,"Complete")</f>
        <v/>
      </c>
      <c r="D9" s="1">
        <f>COUNTIF('Posture and vulnerability manag'!O:O,"Partial")</f>
        <v/>
      </c>
      <c r="E9" s="1">
        <f>COUNTIF('Posture and vulnerability manag'!O:O,"Non-Compliant")</f>
        <v/>
      </c>
      <c r="F9" s="1">
        <f>ROUND(IFERROR((((C9+0.5*D9)/(C9+D9+E9))*100),0), 1)</f>
        <v/>
      </c>
      <c r="G9" s="1">
        <f>ROUND(IFERROR(((F9/100)*5),0), 1)</f>
        <v/>
      </c>
    </row>
    <row r="10">
      <c r="A10" s="1" t="inlineStr">
        <is>
          <t>Endpoint security</t>
        </is>
      </c>
      <c r="B10" s="1">
        <f>SUM('Endpoint security'!L2:L100)</f>
        <v/>
      </c>
      <c r="C10" s="1">
        <f>COUNTIF('Endpoint security'!N:N,"Complete")</f>
        <v/>
      </c>
      <c r="D10" s="1">
        <f>COUNTIF('Endpoint security'!N:N,"Partial")</f>
        <v/>
      </c>
      <c r="E10" s="1">
        <f>COUNTIF('Endpoint security'!N:N,"Non-Compliant")</f>
        <v/>
      </c>
      <c r="F10" s="1">
        <f>ROUND(IFERROR((((C10+0.5*D10)/(C10+D10+E10))*100),0), 1)</f>
        <v/>
      </c>
      <c r="G10" s="1">
        <f>ROUND(IFERROR(((F10/100)*5),0), 1)</f>
        <v/>
      </c>
    </row>
    <row r="11">
      <c r="A11" s="1" t="inlineStr">
        <is>
          <t>Backup and recovery</t>
        </is>
      </c>
      <c r="B11" s="1">
        <f>SUM('Backup and recovery'!L2:L109)</f>
        <v/>
      </c>
      <c r="C11" s="1">
        <f>COUNTIF('Backup and recovery'!N:N,"Complete")</f>
        <v/>
      </c>
      <c r="D11" s="1">
        <f>COUNTIF('Backup and recovery'!N:N,"Partial")</f>
        <v/>
      </c>
      <c r="E11" s="1">
        <f>COUNTIF('Backup and recovery'!N:N,"Non-Compliant")</f>
        <v/>
      </c>
      <c r="F11" s="1">
        <f>ROUND(IFERROR((((C11+0.5*D11)/(C11+D11+E11))*100),0), 1)</f>
        <v/>
      </c>
      <c r="G11" s="1">
        <f>ROUND(IFERROR(((F11/100)*5),0), 1)</f>
        <v/>
      </c>
    </row>
    <row r="12">
      <c r="A12" s="1" t="inlineStr">
        <is>
          <t>DevOps security</t>
        </is>
      </c>
      <c r="B12" s="1">
        <f>SUM('DevOps security'!L2:L100)</f>
        <v/>
      </c>
      <c r="C12" s="1">
        <f>COUNTIF('DevOps security'!N:N,"Complete")</f>
        <v/>
      </c>
      <c r="D12" s="1">
        <f>COUNTIF('DevOps security'!N:N,"Partial")</f>
        <v/>
      </c>
      <c r="E12" s="1">
        <f>COUNTIF('DevOps security'!N:N,"Non-Compliant")</f>
        <v/>
      </c>
      <c r="F12" s="1">
        <f>ROUND(IFERROR((((C12+0.5*D12)/(C12+D12+E12))*100),0), 1)</f>
        <v/>
      </c>
      <c r="G12" s="1">
        <f>ROUND(IFERROR(((F12/100)*5),0), 1)</f>
        <v/>
      </c>
    </row>
    <row r="13">
      <c r="A13" s="25" t="inlineStr">
        <is>
          <t>Governance and strategy</t>
        </is>
      </c>
      <c r="B13" s="25">
        <f>SUM('Governance and strategy'!L2:L100)</f>
        <v/>
      </c>
      <c r="C13" s="1">
        <f>COUNTIF('Governance and strategy'!N:N,"Complete")</f>
        <v/>
      </c>
      <c r="D13" s="1">
        <f>COUNTIF('Governance and strategy'!N:N,"Partial")</f>
        <v/>
      </c>
      <c r="E13" s="1">
        <f>COUNTIF('Governance and strategy'!N:N,"Non-Compliant")</f>
        <v/>
      </c>
      <c r="F13" s="1">
        <f>ROUND(IFERROR((((C13+0.5*D13)/(C13+D13+E13))*100),0), 1)</f>
        <v/>
      </c>
      <c r="G13" s="1">
        <f>ROUND(IFERROR(((F13/100)*5),0), 1)</f>
        <v/>
      </c>
    </row>
    <row r="14">
      <c r="A14" s="59" t="inlineStr">
        <is>
          <t>Total</t>
        </is>
      </c>
      <c r="B14" s="59">
        <f>SUM(B2:B13)</f>
        <v/>
      </c>
      <c r="C14" s="59">
        <f>SUM(C2:C13)</f>
        <v/>
      </c>
      <c r="D14" s="59">
        <f>SUM(D2:D13)</f>
        <v/>
      </c>
      <c r="E14" s="59">
        <f>SUM(E2:E13)</f>
        <v/>
      </c>
      <c r="F14" s="59">
        <f>ROUND(AVERAGE(F2:F13),1)</f>
        <v/>
      </c>
      <c r="G14" s="59" t="n"/>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22" sqref="A22"/>
    </sheetView>
  </sheetViews>
  <sheetFormatPr baseColWidth="8" defaultRowHeight="15"/>
  <cols>
    <col width="55.42578125" customWidth="1" style="38" min="1" max="1"/>
    <col width="57.7109375" customWidth="1" style="38" min="2" max="2"/>
    <col width="50.5703125" customWidth="1" style="5" min="3" max="3"/>
    <col width="47.85546875" customWidth="1" min="4" max="4"/>
    <col width="29.42578125" customWidth="1" min="5" max="5"/>
    <col width="21" customWidth="1" min="6" max="6"/>
  </cols>
  <sheetData>
    <row r="1" ht="15.75" customHeight="1">
      <c r="A1" s="36" t="inlineStr">
        <is>
          <t>Adoption Evaluation</t>
        </is>
      </c>
      <c r="B1" s="36" t="inlineStr">
        <is>
          <t>Options</t>
        </is>
      </c>
      <c r="C1" s="37" t="inlineStr">
        <is>
          <t>Response</t>
        </is>
      </c>
      <c r="D1" s="42" t="inlineStr">
        <is>
          <t xml:space="preserve">Score (1/1) </t>
        </is>
      </c>
    </row>
    <row r="2" ht="135.75" customHeight="1">
      <c r="A2" s="3" t="inlineStr">
        <is>
          <t>How would you describe your cloud strategy?</t>
        </is>
      </c>
      <c r="B2" s="3" t="inlineStr">
        <is>
          <t xml:space="preserve">
Developed as necessary, fragmented
Clear and defined
Transformational and innovative
Requires optimization</t>
        </is>
      </c>
      <c r="C2" s="41" t="n"/>
      <c r="D2" s="1" t="n"/>
    </row>
    <row r="3" ht="115.5" customFormat="1" customHeight="1" s="66">
      <c r="A3" s="63" t="inlineStr">
        <is>
          <t>Are you responding to any critical business events, such as, datacenter exit, mergers and acquisition, end of support for mission-critical technologies, or response to regulatory compliance change?</t>
        </is>
      </c>
      <c r="B3" s="63" t="inlineStr">
        <is>
          <t xml:space="preserve">
Yes
No
Don't know</t>
        </is>
      </c>
      <c r="C3" s="64" t="n"/>
      <c r="D3" s="65" t="n"/>
    </row>
    <row r="4" ht="315.75" customFormat="1" customHeight="1" s="66">
      <c r="A4" s="63" t="inlineStr">
        <is>
          <t>What are the critical business events driving your cloud transformation?</t>
        </is>
      </c>
      <c r="B4" s="63" t="inlineStr">
        <is>
          <t xml:space="preserve">
Datacenter exit
Merger, acquisition, or divestiture
Reduction in capital expenses
End of support for mission-critical technologies
Response to regulatory compliance changes
New data sovereignty requirements
Reduction of disruptions and improvement of IT stability
Report and manage the environmental impact of your business
Expanding capacity without migrating because you're not able to move to OpEx or can't deprecate due to business needs</t>
        </is>
      </c>
      <c r="C4" s="64" t="n"/>
      <c r="D4" s="65" t="n"/>
    </row>
    <row r="5" ht="404.25" customFormat="1" customHeight="1" s="66">
      <c r="A5" s="63" t="inlineStr">
        <is>
          <t>Are there any other motivations that are driving your cloud transformation, other than those driven by critical business events?</t>
        </is>
      </c>
      <c r="B5" s="63" t="inlineStr">
        <is>
          <t xml:space="preserve">
Cost savings
Reduction in vendor or technical complexity
Optimization of internal operations
Increase in business agility
Scaling to meet market and/or geographic demands
Integration of a complex IT portfolio
Improved customer experiences and engagements
Transformation of products or services
Market disruption with new products or services
Preparation for, or building new, technical capabilities
None of the above
Democratization and/or self-service environments</t>
        </is>
      </c>
      <c r="C5" s="64" t="n"/>
      <c r="D5" s="65" t="n"/>
    </row>
    <row r="6" ht="158.25" customHeight="1">
      <c r="A6" s="3" t="inlineStr">
        <is>
          <t>Has your cloud strategy been communicated broadly across the organization?</t>
        </is>
      </c>
      <c r="B6" s="3" t="inlineStr">
        <is>
          <t xml:space="preserve">
Yes
No, just at the leadership level
We are in the process of communicating it
Yes, but we need to reinforce the message
Don't know</t>
        </is>
      </c>
      <c r="C6" s="41" t="n"/>
      <c r="D6" s="1" t="n"/>
    </row>
    <row r="7" ht="108" customHeight="1">
      <c r="A7" s="3" t="inlineStr">
        <is>
          <t>Do you conduct regular cloud strategy reviews with the broader organization?</t>
        </is>
      </c>
      <c r="B7" s="3" t="inlineStr">
        <is>
          <t xml:space="preserve">
Yes, consistently
Yes, on an adhoc basis
No</t>
        </is>
      </c>
      <c r="C7" s="41" t="n"/>
      <c r="D7" s="1" t="n"/>
    </row>
    <row r="8" ht="134.25" customHeight="1">
      <c r="A8" s="3" t="inlineStr">
        <is>
          <t>Have you documented a cloud strategy with multi-year horizon and C-level participation and/or sponsorship?</t>
        </is>
      </c>
      <c r="B8" s="3" t="inlineStr">
        <is>
          <t xml:space="preserve">
Yes, at least a 3-year plan
Yes, but we haven't put it into action
No, I would like to document a strategy</t>
        </is>
      </c>
      <c r="C8" s="41" t="n"/>
      <c r="D8" s="1" t="n"/>
    </row>
    <row r="9" ht="275.25" customFormat="1" customHeight="1" s="66">
      <c r="A9" s="63" t="inlineStr">
        <is>
          <t>What are the business outcomes driving your cloud transformation?</t>
        </is>
      </c>
      <c r="B9" s="63" t="inlineStr">
        <is>
          <t>Increase profitability while driving compliance
Accelerate sales, improve customer lifetime value
Acquire and retain customers, build a reputation
Retain, recruit, and empower employees
Meet market growth requirements and environmental sustainability metrics
Global reach
Performance and reliability
None of the above</t>
        </is>
      </c>
      <c r="C9" s="64" t="n"/>
      <c r="D9" s="65" t="n"/>
    </row>
    <row r="10" ht="96" customFormat="1" customHeight="1" s="66">
      <c r="A10" s="63" t="inlineStr">
        <is>
          <t>Do these outcomes have associated business drivers, KPIs, and necessary technical capabilities?</t>
        </is>
      </c>
      <c r="B10" s="63" t="inlineStr">
        <is>
          <t xml:space="preserve">
Yes
No
Don't know</t>
        </is>
      </c>
      <c r="C10" s="64" t="n"/>
      <c r="D10" s="65" t="n"/>
    </row>
    <row r="11" ht="100.5" customFormat="1" customHeight="1" s="66">
      <c r="A11" s="63" t="inlineStr">
        <is>
          <t xml:space="preserve">Have you developed a financial model or performed an economic assessment that provides business justification for moving to the cloud?
</t>
        </is>
      </c>
      <c r="B11" s="63" t="inlineStr">
        <is>
          <t xml:space="preserve">
Yes
No
Don't know</t>
        </is>
      </c>
      <c r="C11" s="64" t="n"/>
      <c r="D11" s="65" t="n"/>
    </row>
    <row r="12" ht="220.5" customHeight="1">
      <c r="A12" s="3" t="inlineStr">
        <is>
          <t>It's important to understand how to account for cloud costs before you begin a cloud transformation journey. Select your company's model from the following common cloud accounting models.</t>
        </is>
      </c>
      <c r="B12" s="3" t="inlineStr">
        <is>
          <t xml:space="preserve">
Cost-center model
Profit-center model
Charge-back model
Showback or awareness-back model
Don't know
None of the above</t>
        </is>
      </c>
      <c r="C12" s="41" t="n"/>
      <c r="D12" s="1" t="n"/>
    </row>
    <row r="13" ht="66.75" customHeight="1">
      <c r="A13" s="3" t="inlineStr">
        <is>
          <t>Do you understand how your resources need to scale depending on usage, utilization, and demand in a cloud context?</t>
        </is>
      </c>
      <c r="B13" s="3" t="inlineStr">
        <is>
          <t xml:space="preserve">
Yes
No</t>
        </is>
      </c>
      <c r="C13" s="41" t="n"/>
      <c r="D13" s="1" t="n"/>
    </row>
    <row r="14" ht="78.75" customHeight="1">
      <c r="A14" s="3" t="inlineStr">
        <is>
          <t>Have you identified the workloads that need to be built with highly available infrastructure?</t>
        </is>
      </c>
      <c r="B14" s="3" t="inlineStr">
        <is>
          <t xml:space="preserve">
Yes
No</t>
        </is>
      </c>
      <c r="C14" s="41" t="n"/>
      <c r="D14" s="1" t="n"/>
    </row>
    <row r="15" ht="60" customHeight="1">
      <c r="A15" s="3" t="inlineStr">
        <is>
          <t>Have you identified the workloads that have specific security and compliance requirements?</t>
        </is>
      </c>
      <c r="B15" s="3" t="inlineStr">
        <is>
          <t xml:space="preserve">
Yes
No</t>
        </is>
      </c>
      <c r="C15" s="41" t="n"/>
      <c r="D15" s="1" t="n"/>
    </row>
    <row r="16" ht="60" customHeight="1">
      <c r="A16" s="3" t="inlineStr">
        <is>
          <t>Have you identified resources to rightsize and optimize capacity?</t>
        </is>
      </c>
      <c r="B16" s="3" t="inlineStr">
        <is>
          <t xml:space="preserve">
Yes
No</t>
        </is>
      </c>
      <c r="C16" s="41" t="n"/>
      <c r="D16" s="1" t="n"/>
    </row>
    <row r="17" ht="60" customHeight="1">
      <c r="A17" s="3" t="inlineStr">
        <is>
          <t>Have you selected an initial cloud workload?</t>
        </is>
      </c>
      <c r="B17" s="3" t="inlineStr">
        <is>
          <t xml:space="preserve">
Yes
No</t>
        </is>
      </c>
      <c r="C17" s="41" t="n"/>
      <c r="D17" s="1" t="n"/>
    </row>
    <row r="18" ht="60" customFormat="1" customHeight="1" s="66">
      <c r="A18" s="63" t="inlineStr">
        <is>
          <t>Are you familiar with the Azure Hybrid Benefit and how to use it to optimize licensing costs?</t>
        </is>
      </c>
      <c r="B18" s="63" t="inlineStr">
        <is>
          <t xml:space="preserve">
Yes
No</t>
        </is>
      </c>
      <c r="C18" s="64" t="n"/>
      <c r="D18" s="65" t="n"/>
    </row>
    <row r="19" ht="60" customFormat="1" customHeight="1" s="66">
      <c r="A19" s="63" t="inlineStr">
        <is>
          <t>Are you familiar with Azure Reservations and pay-as-you-go pricing models?</t>
        </is>
      </c>
      <c r="B19" s="63" t="inlineStr">
        <is>
          <t xml:space="preserve">
Yes
No</t>
        </is>
      </c>
      <c r="C19" s="64" t="n"/>
      <c r="D19" s="65" t="n"/>
    </row>
    <row r="20" ht="60" customFormat="1" customHeight="1" s="66">
      <c r="A20" s="63" t="inlineStr">
        <is>
          <t>Are you familiar with Azure Spot Virtual Machines and its cost savings?</t>
        </is>
      </c>
      <c r="B20" s="63" t="inlineStr">
        <is>
          <t xml:space="preserve">
Yes
No</t>
        </is>
      </c>
      <c r="C20" s="64" t="n"/>
      <c r="D20" s="65" t="n"/>
    </row>
    <row r="21" ht="60" customFormat="1" customHeight="1" s="66">
      <c r="A21" s="63" t="inlineStr">
        <is>
          <t>Do you have a strong understanding of the baseline financial data in your on-premises datacenter today?</t>
        </is>
      </c>
      <c r="B21" s="63" t="inlineStr">
        <is>
          <t xml:space="preserve">
Yes
No</t>
        </is>
      </c>
      <c r="C21" s="64" t="n"/>
      <c r="D21" s="65" t="n"/>
    </row>
    <row r="22" ht="90" customFormat="1" customHeight="1" s="66">
      <c r="A22" s="63" t="inlineStr">
        <is>
          <t>Do the appropriate people and teams have foundational-level knowledge of cloud services and how Microsoft Azure provides those services?</t>
        </is>
      </c>
      <c r="B22" s="63" t="inlineStr">
        <is>
          <t xml:space="preserve">
Yes
No
Don't know</t>
        </is>
      </c>
      <c r="C22" s="64" t="n"/>
      <c r="D22" s="65" t="n"/>
    </row>
    <row r="23" ht="90" customFormat="1" customHeight="1" s="66">
      <c r="A23" s="63" t="inlineStr">
        <is>
          <t>Do your developers understand cloud computing concepts, general cloud computing models, and services, such as public, private, and hybrid cloud services, like IaaS, PaaS, and SaaS?</t>
        </is>
      </c>
      <c r="B23" s="63" t="inlineStr">
        <is>
          <t xml:space="preserve">
Yes
No
Don't know</t>
        </is>
      </c>
      <c r="C23" s="64" t="n"/>
      <c r="D23" s="65" t="n"/>
    </row>
    <row r="24" ht="90" customHeight="1">
      <c r="A24" s="3" t="inlineStr">
        <is>
          <t>Do you have a cloud center of excellence (CCoE) staffed with cross-discipline members, for example CTO, finance, DevOps or talent management?</t>
        </is>
      </c>
      <c r="B24" s="3" t="inlineStr">
        <is>
          <t xml:space="preserve">
Yes
No
Don't know</t>
        </is>
      </c>
      <c r="C24" s="41" t="n"/>
      <c r="D24" s="1" t="n"/>
    </row>
    <row r="25" ht="60" customFormat="1" customHeight="1" s="66">
      <c r="A25" s="63" t="inlineStr">
        <is>
          <t>Do you understand the key components of building a business case?</t>
        </is>
      </c>
      <c r="B25" s="63" t="inlineStr">
        <is>
          <t xml:space="preserve">
Yes
No</t>
        </is>
      </c>
      <c r="C25" s="64" t="n"/>
      <c r="D25" s="65" t="n"/>
    </row>
    <row r="26" ht="60" customFormat="1" customHeight="1" s="66">
      <c r="A26" s="63" t="inlineStr">
        <is>
          <t xml:space="preserve">Do you know how to build a digital transformation timeline?
</t>
        </is>
      </c>
      <c r="B26" s="63" t="inlineStr">
        <is>
          <t xml:space="preserve">
Yes
No</t>
        </is>
      </c>
      <c r="C26" s="64" t="n"/>
      <c r="D26" s="65" t="n"/>
    </row>
    <row r="27"/>
    <row r="28"/>
    <row r="29">
      <c r="A29" s="39" t="inlineStr">
        <is>
          <t>Answer</t>
        </is>
      </c>
      <c r="B29" s="39" t="inlineStr">
        <is>
          <t>Score Map</t>
        </is>
      </c>
    </row>
    <row r="30">
      <c r="A30" s="40" t="inlineStr">
        <is>
          <t>Yes</t>
        </is>
      </c>
      <c r="B30" s="40" t="n">
        <v>1</v>
      </c>
    </row>
    <row r="31">
      <c r="A31" s="40" t="inlineStr">
        <is>
          <t>No</t>
        </is>
      </c>
      <c r="B31" s="40" t="n">
        <v>0</v>
      </c>
    </row>
    <row r="32">
      <c r="A32" s="40" t="inlineStr">
        <is>
          <t>1 or more option</t>
        </is>
      </c>
      <c r="B32" s="40" t="n">
        <v>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1"/>
  <sheetViews>
    <sheetView topLeftCell="A10" workbookViewId="0">
      <selection activeCell="A19" sqref="A19"/>
    </sheetView>
  </sheetViews>
  <sheetFormatPr baseColWidth="8" defaultRowHeight="15"/>
  <cols>
    <col width="123.5703125" customWidth="1" style="38" min="1" max="1"/>
    <col width="125.28515625" customWidth="1" style="38" min="2" max="2"/>
    <col width="50.5703125" customWidth="1" style="5" min="3" max="3"/>
    <col width="47.85546875" customWidth="1" min="4" max="4"/>
    <col width="29.42578125" customWidth="1" min="5" max="5"/>
    <col width="21" customWidth="1" min="6" max="6"/>
  </cols>
  <sheetData>
    <row r="1" ht="15.75" customHeight="1">
      <c r="A1" s="36" t="inlineStr">
        <is>
          <t>Question</t>
        </is>
      </c>
      <c r="B1" s="62" t="inlineStr">
        <is>
          <t>Response Captured</t>
        </is>
      </c>
      <c r="C1" s="37" t="n"/>
      <c r="D1" s="42" t="n"/>
    </row>
    <row r="2">
      <c r="A2" s="61" t="inlineStr">
        <is>
          <t>Do you currently use a CSPM or Defender for Cloud for continuous compliance and posture monitoring?</t>
        </is>
      </c>
      <c r="B2" s="3" t="n"/>
      <c r="C2" s="41" t="n"/>
      <c r="D2" s="1" t="n"/>
    </row>
    <row r="3">
      <c r="A3" s="3" t="inlineStr">
        <is>
          <t>Is there a SIEM/SOAR platform (like Microsoft Sentinel) collecting and correlating logs from all Azure resources?</t>
        </is>
      </c>
      <c r="B3" s="3" t="n"/>
      <c r="C3" s="41" t="n"/>
      <c r="D3" s="1" t="n"/>
    </row>
    <row r="4">
      <c r="A4" s="3" t="inlineStr">
        <is>
          <t>Do you have centralized identity management through Microsoft Entra ID with MFA and Conditional Access enforced</t>
        </is>
      </c>
      <c r="B4" s="3" t="n"/>
      <c r="C4" s="41" t="n"/>
      <c r="D4" s="1" t="n"/>
    </row>
    <row r="5">
      <c r="A5" s="3" t="inlineStr">
        <is>
          <t>Is Privileged Identity Management (PIM) or a similar solution in place for admin access control and elevation</t>
        </is>
      </c>
      <c r="B5" s="3" t="n"/>
      <c r="C5" s="41" t="n"/>
      <c r="D5" s="1" t="n"/>
    </row>
    <row r="6">
      <c r="A6" s="3" t="inlineStr">
        <is>
          <t>Are subscriptions and management groups organized under a governance model with defined policies and guardrails</t>
        </is>
      </c>
      <c r="B6" s="3" t="n"/>
      <c r="C6" s="41" t="n"/>
      <c r="D6" s="1" t="n"/>
    </row>
    <row r="7">
      <c r="A7" s="3" t="inlineStr">
        <is>
          <t xml:space="preserve"> Is Azure Policy actively used to enforce configuration baselines and prevent non-compliant deployments?</t>
        </is>
      </c>
      <c r="B7" s="3" t="n"/>
      <c r="C7" s="41" t="n"/>
      <c r="D7" s="1" t="n"/>
    </row>
    <row r="8">
      <c r="A8" s="3" t="inlineStr">
        <is>
          <t>Are network controls such as firewalls, NSGs, and Private Endpoints configured to restrict external access?</t>
        </is>
      </c>
      <c r="B8" s="3" t="n"/>
      <c r="C8" s="41" t="n"/>
      <c r="D8" s="1" t="n"/>
    </row>
    <row r="9">
      <c r="A9" s="3" t="inlineStr">
        <is>
          <t xml:space="preserve"> Is data encryption at rest and in transit enforced across all services using managed or customer-managed keys?</t>
        </is>
      </c>
      <c r="B9" s="3" t="n"/>
      <c r="C9" s="41" t="n"/>
      <c r="D9" s="1" t="n"/>
    </row>
    <row r="10">
      <c r="A10" s="3" t="inlineStr">
        <is>
          <t>Do you use Azure Key Vault or an HSM for secret and key management with access logging enabled?</t>
        </is>
      </c>
      <c r="B10" s="3" t="n"/>
      <c r="C10" s="41" t="n"/>
      <c r="D10" s="1" t="n"/>
    </row>
    <row r="11">
      <c r="A11" s="3" t="inlineStr">
        <is>
          <t>Are Defender for Servers/Containers/SQL or equivalent workload protections deployed and monitored?</t>
        </is>
      </c>
      <c r="B11" s="3" t="n"/>
      <c r="C11" s="41" t="n"/>
      <c r="D11" s="1" t="n"/>
    </row>
    <row r="12">
      <c r="A12" s="3" t="inlineStr">
        <is>
          <t>Do you perform vulnerability scanning and patch management for all compute, container, and PaaS workloads</t>
        </is>
      </c>
      <c r="B12" s="3" t="n"/>
      <c r="C12" s="41" t="n"/>
      <c r="D12" s="1" t="n"/>
    </row>
    <row r="13">
      <c r="A13" s="3" t="inlineStr">
        <is>
          <t xml:space="preserve"> Is there an established incident response process integrated with alerting and automation (playbooks/runbooks)</t>
        </is>
      </c>
      <c r="B13" s="3" t="n"/>
      <c r="C13" s="41" t="n"/>
      <c r="D13" s="1" t="n"/>
    </row>
    <row r="14">
      <c r="A14" s="3" t="inlineStr">
        <is>
          <t>Are security logs, audit logs, and activity logs collected and retained centrally with sufficient retention periods?</t>
        </is>
      </c>
      <c r="B14" s="3" t="n"/>
      <c r="C14" s="41" t="n"/>
      <c r="D14" s="1" t="n"/>
    </row>
    <row r="15">
      <c r="A15" s="3" t="inlineStr">
        <is>
          <t>Is backup and disaster recovery implemented and tested regularly for mission-critical workloads?</t>
        </is>
      </c>
      <c r="B15" s="3" t="n"/>
      <c r="C15" s="41" t="n"/>
      <c r="D15" s="1" t="n"/>
    </row>
    <row r="16">
      <c r="A16" t="inlineStr">
        <is>
          <t>Do you have a DevSecOps process integrating security scanning into CI/CD and IaC templates</t>
        </is>
      </c>
      <c r="B16" s="3" t="n"/>
      <c r="C16" s="41" t="n"/>
      <c r="D16" s="1" t="n"/>
    </row>
    <row r="17">
      <c r="A17" s="3" t="inlineStr">
        <is>
          <t>Are identity and access reviews conducted periodically to remove unused or excessive privileges</t>
        </is>
      </c>
      <c r="B17" s="3" t="n"/>
      <c r="C17" s="41" t="n"/>
      <c r="D17" s="1" t="n"/>
    </row>
    <row r="18">
      <c r="A18" s="3" t="inlineStr">
        <is>
          <t>Do you maintain an up-to-date asset inventory of all Azure resources (subscriptions, workloads, identities)</t>
        </is>
      </c>
      <c r="B18" s="3" t="n"/>
      <c r="C18" s="41" t="n"/>
      <c r="D18" s="1" t="n"/>
    </row>
    <row r="19">
      <c r="A19" s="3" t="inlineStr">
        <is>
          <t>Are third-party integrations, APIs, and SaaS connections reviewed and secured (e.g., via Private Link or managed identities)?</t>
        </is>
      </c>
      <c r="B19" s="3" t="n"/>
      <c r="C19" s="41" t="n"/>
      <c r="D19" s="1" t="n"/>
    </row>
    <row r="20">
      <c r="A20" s="3" t="inlineStr">
        <is>
          <t xml:space="preserve"> Do you have a defined security governance structure (roles, ownership, escalation paths) for Azure</t>
        </is>
      </c>
      <c r="B20" s="3" t="n"/>
      <c r="C20" s="41" t="n"/>
      <c r="D20" s="1" t="n"/>
    </row>
    <row r="21">
      <c r="A21" s="3" t="inlineStr">
        <is>
          <t>Are regulatory and compliance dashboards (CIS, ISO, NIST, PCI, etc.) tracked and reported from Defender for Cloud or another tool</t>
        </is>
      </c>
      <c r="B21" s="3" t="n"/>
      <c r="C21" s="41" t="n"/>
      <c r="D21" s="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K1" sqref="K1:L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10"/>
    <col width="52.5703125" customWidth="1" style="74" min="11" max="11"/>
    <col width="38.28515625" customWidth="1" style="74" min="12" max="12"/>
    <col width="17.7109375" customWidth="1" min="13" max="13"/>
    <col width="25.28515625" customWidth="1" min="14" max="14"/>
    <col width="21" customWidth="1" min="15" max="15"/>
    <col width="27.5703125" customWidth="1" min="16" max="16"/>
    <col width="40.28515625" customWidth="1" min="17" max="17"/>
    <col width="49.5703125" customWidth="1" min="18" max="18"/>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 t="inlineStr">
        <is>
          <t>IANS Azure Mapping</t>
        </is>
      </c>
      <c r="K1" s="67" t="inlineStr">
        <is>
          <t xml:space="preserve">Assessment Question </t>
        </is>
      </c>
      <c r="L1" s="67" t="inlineStr">
        <is>
          <t>Evidence to Collect</t>
        </is>
      </c>
      <c r="M1" s="6" t="inlineStr">
        <is>
          <t>Evidence Count</t>
        </is>
      </c>
      <c r="N1" s="6" t="inlineStr">
        <is>
          <t>Available Evidence Count</t>
        </is>
      </c>
      <c r="O1" s="6" t="inlineStr">
        <is>
          <t>Compliance Status</t>
        </is>
      </c>
      <c r="P1" s="6" t="inlineStr">
        <is>
          <t>Risk Severity (if non-compliant)</t>
        </is>
      </c>
      <c r="Q1" s="6" t="inlineStr">
        <is>
          <t xml:space="preserve">Implementation Gap </t>
        </is>
      </c>
      <c r="R1" s="6" t="inlineStr">
        <is>
          <t>Notes/Comments</t>
        </is>
      </c>
    </row>
    <row r="2" ht="259.5" customHeight="1">
      <c r="A2" s="9" t="inlineStr">
        <is>
          <t>CSF-AZ-NS-01</t>
        </is>
      </c>
      <c r="B2" s="13" t="inlineStr">
        <is>
          <t>Establish network segmentation boundaries</t>
        </is>
      </c>
      <c r="C2" s="8" t="inlineStr">
        <is>
          <t>Ensure that your virtual network deployment aligns to your enterprise segmentation strategy defined in the GS-2 security control. Any workload that could incur higher risk for the organization should be in isolated virtual networks.</t>
        </is>
      </c>
      <c r="D2" s="3" t="inlineStr">
        <is>
          <t>Create a virtual network (VNet) as a fundamental segmentation approach in your Azure network, so resources such as VMs can be deployed into the VNet within a network boundary. To further segment the network, you can create subnets inside VNet for smaller sub-networks.
Use network security groups (NSG) as a network layer control to restrict or monitor traffic by port, protocol, source IP address, or destination IP address. Refer to NS-7: Simplify network security configuration to use Adaptive Network Hardening to recommend NSG hardening rules based on threat intelligence and traffic analysis result.
You can also use application security groups (ASGs) to simplify complex configuration. Instead of defining policy based on explicit IP addresses in network security groups, ASGs enable you to configure network security as a natural extension of an application's structure, allowing you to group virtual machines and define network security policies based on those groups.</t>
        </is>
      </c>
      <c r="E2" s="10" t="inlineStr">
        <is>
          <t>NS-1</t>
        </is>
      </c>
      <c r="F2" s="4" t="inlineStr">
        <is>
          <t>3.12, 13.4, 4.4</t>
        </is>
      </c>
      <c r="G2" s="3" t="inlineStr">
        <is>
          <t>AC-4, SC-2, SC-7</t>
        </is>
      </c>
      <c r="H2" s="12" t="inlineStr">
        <is>
          <t xml:space="preserve">	1.1, 1.2, 1.3</t>
        </is>
      </c>
      <c r="I2" s="11" t="inlineStr">
        <is>
          <t>IVS-03</t>
        </is>
      </c>
      <c r="J2" s="27" t="n"/>
      <c r="K2" s="68" t="inlineStr">
        <is>
          <t>1. Are VNets and subnets defined for workload isolation?
2. Are NSGs applied to restrict/monitor traffic?
3. Are ASGs used for simplifying security rules?
4. Are segmentation rules aligned with enterprise segmentation strategy?</t>
        </is>
      </c>
      <c r="L2" s="69" t="inlineStr">
        <is>
          <t>1. Azure VNet/subnet configuration export
2. NSG rule reports
3. ASG definitions
4. Network Hardening recommendations (Defender for Cloud or equivalent tool)
5. Architecture diagram showing segmentation boundaries</t>
        </is>
      </c>
      <c r="M2" s="9" t="n">
        <v>5</v>
      </c>
      <c r="N2" s="9" t="n">
        <v>0</v>
      </c>
      <c r="O2" s="9" t="inlineStr">
        <is>
          <t>Non-Compliant</t>
        </is>
      </c>
      <c r="P2" s="1" t="n"/>
      <c r="Q2" s="1" t="n"/>
      <c r="R2" s="1" t="n"/>
    </row>
    <row r="3" ht="294" customHeight="1">
      <c r="A3" s="9" t="inlineStr">
        <is>
          <t>CSF-AZ-NS-02</t>
        </is>
      </c>
      <c r="B3" s="13" t="inlineStr">
        <is>
          <t>Secure cloud native services with network controls</t>
        </is>
      </c>
      <c r="C3" s="8" t="inlineStr">
        <is>
          <t>Secure cloud services by establishing a private access point for resources. You should also disable or restrict access from public networks when possible.</t>
        </is>
      </c>
      <c r="D3" s="3" t="inlineStr">
        <is>
          <t>Deploy private endpoints for all Azure resources that support the Private Link feature to establish a private access point for the resources. Using Private Link will keep the private connection from routing through the public network.
Note: Certain Azure services may also allow private communication through the service endpoint feature, though it is recommended to use Azure Private Link for secure and private access to services hosted on Azure platform.
For certain services, you can choose to deploy VNet integration for the service where you can restrict the VNET to establish a private access point for the service.
You also have the option to configure the service native network ACL rules or simply disable public network access to block access from public networks.
For Azure VMs, unless there is a strong use case, you should avoid assigning public IPs/subnet directly to the VM interface and instead use gateway or load balancer services as the front-end for access by the public network.</t>
        </is>
      </c>
      <c r="E3" s="9" t="inlineStr">
        <is>
          <t>NS-2</t>
        </is>
      </c>
      <c r="F3" s="4" t="inlineStr">
        <is>
          <t>3.12, 4.4</t>
        </is>
      </c>
      <c r="G3" s="3" t="inlineStr">
        <is>
          <t>AC-4, SC-2, SC-7</t>
        </is>
      </c>
      <c r="H3" s="12" t="inlineStr">
        <is>
          <t>1.1, 1.2, 1.3</t>
        </is>
      </c>
      <c r="I3" s="11" t="inlineStr">
        <is>
          <t>IVS-06</t>
        </is>
      </c>
      <c r="J3" s="27" t="n"/>
      <c r="K3" s="68" t="inlineStr">
        <is>
          <t xml:space="preserve">1. Are Azure PaaS services (e.g., Storage, SQL, Key Vault) integrated privately with VNets via Private Link or Service Endpoints?
2. Is public access disabled where feasible?
3. Are NSGs or firewall rules applied to restrict access to services?
</t>
        </is>
      </c>
      <c r="L3" s="69" t="inlineStr">
        <is>
          <t>1. Azure Private Link/Service Endpoint configuration
2. Firewall and NSG rule sets
3. Azure Policy assignments for restricting public access</t>
        </is>
      </c>
      <c r="M3" s="9" t="n">
        <v>3</v>
      </c>
      <c r="N3" s="9" t="n">
        <v>0</v>
      </c>
      <c r="O3" s="9" t="inlineStr">
        <is>
          <t>Partial</t>
        </is>
      </c>
      <c r="P3" s="1" t="n"/>
      <c r="Q3" s="1" t="n"/>
      <c r="R3" s="1" t="n"/>
    </row>
    <row r="4" ht="294" customHeight="1">
      <c r="A4" s="9" t="inlineStr">
        <is>
          <t>CSF-AZ-NS-03</t>
        </is>
      </c>
      <c r="B4" s="13" t="inlineStr">
        <is>
          <t>Deploy firewall at the edge of enterprise network</t>
        </is>
      </c>
      <c r="C4" s="8" t="inlineStr">
        <is>
          <t>Deploy a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purposes.</t>
        </is>
      </c>
      <c r="D4" s="3" t="inlineStr">
        <is>
          <t>Use Azure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user-defined routes (UDR) to ensure the traffic goes through the desired route. For example, you have the option to use an UDR to redirect egress internet traffic through a specific Azure Firewall or a network virtual appliance.</t>
        </is>
      </c>
      <c r="E4" s="8" t="inlineStr">
        <is>
          <t xml:space="preserve">
NS-3</t>
        </is>
      </c>
      <c r="F4" s="4" t="inlineStr">
        <is>
          <t>4.4, 4.8, 13.10</t>
        </is>
      </c>
      <c r="G4" s="3" t="inlineStr">
        <is>
          <t>AC-4, SC-7, CM-7</t>
        </is>
      </c>
      <c r="H4" s="12" t="inlineStr">
        <is>
          <t>1.1, 1.2, 1.3</t>
        </is>
      </c>
      <c r="I4" s="11" t="inlineStr">
        <is>
          <t>IVS-08</t>
        </is>
      </c>
      <c r="J4" s="27" t="n"/>
      <c r="K4" s="68" t="inlineStr">
        <is>
          <t>1. Is Azure Firewall deployed for centralized traffic control?
2. Are firewall policies defined with application and network rules?
3. Is Firewall Manager used for policy consistency?
4. Are threat intelligence-based filtering rules enabled?</t>
        </is>
      </c>
      <c r="L4" s="69" t="inlineStr">
        <is>
          <t>1. Azure Firewall configuration and rules export
2. Firewall Manager policy assignments
3. Defender for Cloud recommendations</t>
        </is>
      </c>
      <c r="M4" s="9" t="n">
        <v>3</v>
      </c>
      <c r="N4" s="9" t="n">
        <v>0</v>
      </c>
      <c r="O4" s="9" t="inlineStr">
        <is>
          <t>Complete</t>
        </is>
      </c>
      <c r="P4" s="1" t="n"/>
      <c r="Q4" s="1" t="n"/>
      <c r="R4" s="1" t="n"/>
    </row>
    <row r="5" ht="120" customHeight="1">
      <c r="A5" s="9" t="inlineStr">
        <is>
          <t>CSF-AZ-NS-04</t>
        </is>
      </c>
      <c r="B5" s="13" t="inlineStr">
        <is>
          <t>Deploy intrusion detection/intrusion prevention systems (IDS/IPS)</t>
        </is>
      </c>
      <c r="C5" s="8" t="inlineStr">
        <is>
          <t>Use network intrusion detection and intrusion prevention systems (IDS/IPS) to inspect the network and payload traffic to or from your workload. Ensure that IDS/IPS is always tuned to provide high-quality alerts to your SIEM solution.</t>
        </is>
      </c>
      <c r="D5" s="3" t="inlineStr">
        <is>
          <t>Use Azure Firewall’s IDPS capabilities to protect your virtual network to alert on and/or block traffic to and from known malicious IP addresses and domains.
For more in-depth host level detection and prevention capability, deploy host-based IDS/IPS or a host-based endpoint detection and response (EDR) solution, such as Microsoft Defender for Endpoint, at the VM level in conjunction with the network IDS/IPS.</t>
        </is>
      </c>
      <c r="E5" s="9" t="inlineStr">
        <is>
          <t>NS-4</t>
        </is>
      </c>
      <c r="F5" s="4" t="inlineStr">
        <is>
          <t>13.2, 13.3, 13.7, 13.8</t>
        </is>
      </c>
      <c r="G5" s="3" t="inlineStr">
        <is>
          <t>SC-7, SI-4</t>
        </is>
      </c>
      <c r="H5" s="12" t="n">
        <v>11.4</v>
      </c>
      <c r="I5" s="11" t="inlineStr">
        <is>
          <t>IVS-09</t>
        </is>
      </c>
      <c r="J5" s="27" t="n"/>
      <c r="K5" s="68" t="inlineStr">
        <is>
          <t>1. Is IDS/IPS functionality enabled on Azure Firewall Premium or NVA appliances?
2. Is traffic being mirrored to an IDS solution (e.g., via Network Watcher TAP)?
3. Are alerts integrated with SIEM (Microsoft Sentinel)?</t>
        </is>
      </c>
      <c r="L5" s="69" t="inlineStr">
        <is>
          <t>1. IDS/IPS configuration on Azure Firewall or NVAs
2. Logs showing intrusion detection alerts
3. Sentinel integration settings</t>
        </is>
      </c>
      <c r="M5" s="9" t="n">
        <v>3</v>
      </c>
      <c r="N5" s="9" t="n">
        <v>0</v>
      </c>
      <c r="O5" s="9" t="inlineStr">
        <is>
          <t>Complete</t>
        </is>
      </c>
      <c r="P5" s="1" t="n"/>
      <c r="Q5" s="1" t="n"/>
      <c r="R5" s="1" t="n"/>
    </row>
    <row r="6" ht="123" customHeight="1">
      <c r="A6" s="9" t="inlineStr">
        <is>
          <t>CSF-AZ-NS-05</t>
        </is>
      </c>
      <c r="B6" s="13" t="inlineStr">
        <is>
          <t>Deploy DDOS protection</t>
        </is>
      </c>
      <c r="C6" s="8" t="inlineStr">
        <is>
          <t>Deploy distributed denial of service (DDoS) protection to protect your network and applications from attacks.</t>
        </is>
      </c>
      <c r="D6" s="3" t="inlineStr">
        <is>
          <t>DDoS Protection Basic is automatically enabled to protect the Azure underlying platform infrastructure (e.g. Azure DNS) and requires no configuration from the users.
For higher levels of protection of your application layer (Layer 7) attacks such as HTTP floods and DNS floods, enable the DDoS standard protection plan on your VNet to protect resources that are exposed to the public networks.</t>
        </is>
      </c>
      <c r="E6" s="9" t="inlineStr">
        <is>
          <t>NS-5</t>
        </is>
      </c>
      <c r="F6" s="4" t="n">
        <v>13.1</v>
      </c>
      <c r="G6" s="3" t="inlineStr">
        <is>
          <t>SC-5, SC-7</t>
        </is>
      </c>
      <c r="H6" s="12" t="inlineStr">
        <is>
          <t>1.1, 1.2, 1.3, 6.6</t>
        </is>
      </c>
      <c r="I6" s="11" t="inlineStr">
        <is>
          <t>IPY-09</t>
        </is>
      </c>
      <c r="J6" s="27" t="n"/>
      <c r="K6" s="68" t="inlineStr">
        <is>
          <t>1. Is Azure DDoS Protection (Basic or Standard) enabled?
2. Are high-risk internet-facing VNets enrolled in DDoS Standard?
3. Are mitigation alerts integrated with monitoring?</t>
        </is>
      </c>
      <c r="L6" s="69" t="inlineStr">
        <is>
          <t>1. DDoS Standard plan assignment in subscription
2. VNet DDoS protection configuration
3. Monitoring/alert logs from Defender for Cloud</t>
        </is>
      </c>
      <c r="M6" s="9" t="n">
        <v>3</v>
      </c>
      <c r="N6" s="9" t="n">
        <v>0</v>
      </c>
      <c r="O6" s="9" t="inlineStr">
        <is>
          <t>Partial</t>
        </is>
      </c>
      <c r="P6" s="1" t="n"/>
      <c r="Q6" s="1" t="n"/>
      <c r="R6" s="1" t="n"/>
    </row>
    <row r="7" ht="163.5" customHeight="1">
      <c r="A7" s="9" t="inlineStr">
        <is>
          <t>CSF-AZ-NS-06</t>
        </is>
      </c>
      <c r="B7" s="13" t="inlineStr">
        <is>
          <t>Deploy web application firewall</t>
        </is>
      </c>
      <c r="C7" s="8" t="inlineStr">
        <is>
          <t xml:space="preserve"> Deploy a web application firewall (WAF) and configure the appropriate rules to protect your web applications and APIs from application-specific attacks.
</t>
        </is>
      </c>
      <c r="D7" s="3" t="inlineStr">
        <is>
          <t>Use web application firewall (WAF) capabilities in Azure Application Gateway, Azure Front Door, and Azure Content Delivery Network (CDN) to protect your applications, services and APIs against application layer attacks at the edge of your network.
Set your WAF in "detection" or "prevention mode", depending on your needs and threat landscape.
Choose a built-in ruleset, such as OWASP Top 10 vulnerabilities, and tune it to your application needs.</t>
        </is>
      </c>
      <c r="E7" s="9" t="inlineStr">
        <is>
          <t>NS-6</t>
        </is>
      </c>
      <c r="F7" s="4" t="n">
        <v>13.1</v>
      </c>
      <c r="G7" s="3" t="inlineStr">
        <is>
          <t>SC-7</t>
        </is>
      </c>
      <c r="H7" s="12" t="inlineStr">
        <is>
          <t>1.1, 1.2, 1.3</t>
        </is>
      </c>
      <c r="I7" s="11" t="inlineStr">
        <is>
          <t>IVS-07</t>
        </is>
      </c>
      <c r="J7" s="27" t="n"/>
      <c r="K7" s="68" t="inlineStr">
        <is>
          <t>1. Are Azure Application Gateway WAF or Azure Front Door WAF policies deployed?
2. Are managed rule sets enabled and customized as needed?
3. Are logs from WAF integrated into Sentinel?</t>
        </is>
      </c>
      <c r="L7" s="69" t="inlineStr">
        <is>
          <t>1. WAF policy configuration export
2. Rule set assignment (OWASP CRS, custom rules)
3. Log Analytics/Sentinel WAF logs</t>
        </is>
      </c>
      <c r="M7" s="9" t="n">
        <v>3</v>
      </c>
      <c r="N7" s="9" t="n">
        <v>0</v>
      </c>
      <c r="O7" s="9" t="inlineStr">
        <is>
          <t>Non-Compliant</t>
        </is>
      </c>
      <c r="P7" s="1" t="n"/>
      <c r="Q7" s="1" t="n"/>
      <c r="R7" s="1" t="n"/>
    </row>
    <row r="8" ht="200.25" customHeight="1">
      <c r="A8" s="9" t="inlineStr">
        <is>
          <t>CSF-AZ-NS-07</t>
        </is>
      </c>
      <c r="B8" s="13" t="inlineStr">
        <is>
          <t>Simplify network security configuration</t>
        </is>
      </c>
      <c r="C8" s="8" t="inlineStr">
        <is>
          <t>When managing a complex network environment, use tools to simplify, centralize and enhance network security management.</t>
        </is>
      </c>
      <c r="D8" s="3" t="inlineStr">
        <is>
          <t>Use the following features to simplify the implementation and management of the virtual network, NSG rules, and Azure Firewall rules:
1. Use Azure Virtual Network Manager to group, configure, deploy, and manage virtual networks and NSG rules across regions and subscriptions.
2. Use Microsoft Defender for Cloud Adaptive Network Hardening to recommend NSG hardening rules that further limit ports, protocols and source IPs based on threat intelligence and traffic analysis result.
3. Use Azure Firewall Manager to centralize the firewall policy and route management of the virtual network. To simplify the firewall rules and network security groups implementation, you can also use the Azure Firewall Manager Azure Resource Manager(ARM) template.</t>
        </is>
      </c>
      <c r="E8" s="8" t="inlineStr">
        <is>
          <t xml:space="preserve">
NS-7</t>
        </is>
      </c>
      <c r="F8" s="4" t="inlineStr">
        <is>
          <t>4.4, 4.8</t>
        </is>
      </c>
      <c r="G8" s="3" t="inlineStr">
        <is>
          <t>AC-4, SC-2, SC-7</t>
        </is>
      </c>
      <c r="H8" s="12" t="inlineStr">
        <is>
          <t>1.1, 1.2, 1.3</t>
        </is>
      </c>
      <c r="I8" s="11" t="inlineStr">
        <is>
          <t>IVS-04</t>
        </is>
      </c>
      <c r="J8" s="27" t="n"/>
      <c r="K8" s="68" t="inlineStr">
        <is>
          <t>1. Is Adaptive Network Hardening enabled in Defender for Cloud?
2. Are NSGs being hardened using recommendations?
3. Is policy-as-code (Azure Policy/Blueprints) applied to enforce security rules?</t>
        </is>
      </c>
      <c r="L8" s="69" t="inlineStr">
        <is>
          <t>1. Adaptive Network Hardening recommendations
2. Azure Policy assignment reports
3. Screenshots of NSG recommendation remediation</t>
        </is>
      </c>
      <c r="M8" s="9" t="n">
        <v>3</v>
      </c>
      <c r="N8" s="9" t="n">
        <v>0</v>
      </c>
      <c r="O8" s="9" t="inlineStr">
        <is>
          <t>Non-Compliant</t>
        </is>
      </c>
      <c r="P8" s="1" t="n"/>
      <c r="Q8" s="1" t="n"/>
      <c r="R8" s="1" t="n"/>
    </row>
    <row r="9" ht="161.25" customHeight="1">
      <c r="A9" s="9" t="inlineStr">
        <is>
          <t>CSF-AZ-NS-08</t>
        </is>
      </c>
      <c r="B9" s="13" t="inlineStr">
        <is>
          <t>Detect and disable insecure services and protocols</t>
        </is>
      </c>
      <c r="C9" s="8" t="inlineStr">
        <is>
          <t>Detect and disable insecure services and protocols at the OS, application, or software package layer. Deploy compensating controls if disabling insecure services and protocols are not possible.</t>
        </is>
      </c>
      <c r="D9" s="3" t="inlineStr">
        <is>
          <t>Use Microsoft Sentinel’s built-in Insecure Protocol Workbook to discover the use of insecure services and protocols such as SSL/TLSv1, SSHv1, SMBv1, LM/NTLMv1, wDigest, weak ciphers in Kerberos, and Unsigned LDAP Binds. Disable insecure services and protocols that do not meet the appropriate security standard.
Note: If disabling insecure services or protocols is not possible, use compensating controls such as blocking access to the resources through network security group, Azure Firewall, or Azure Web Application Firewall to reduce the attack surface.</t>
        </is>
      </c>
      <c r="E9" s="9" t="inlineStr">
        <is>
          <t>NS-8</t>
        </is>
      </c>
      <c r="F9" s="4" t="inlineStr">
        <is>
          <t>4.4, 4.8</t>
        </is>
      </c>
      <c r="G9" s="3" t="inlineStr">
        <is>
          <t>CM-2, CM-6, CM-7</t>
        </is>
      </c>
      <c r="H9" s="12" t="inlineStr">
        <is>
          <t>4.1, A2.1, A2.2, A2.3</t>
        </is>
      </c>
      <c r="I9" s="11" t="inlineStr">
        <is>
          <t>LOG-03</t>
        </is>
      </c>
      <c r="J9" s="27" t="n"/>
      <c r="K9" s="68" t="inlineStr">
        <is>
          <t xml:space="preserve">1. Are insecure protocols (e.g., SMBv1, Telnet, RDP over internet) blocked via NSGs or Firewall?
2. Are TLS 1.2+ enforced on services?
3. Are monitoring alerts enabled for deprecated/insecure services?
</t>
        </is>
      </c>
      <c r="L9" s="69" t="inlineStr">
        <is>
          <t>1. NSG/Firewall rules blocking insecure ports
2. Service configurations (TLS settings in App Gateway, SQL, Storage)
3. Defender for Cloud insecure protocol findings</t>
        </is>
      </c>
      <c r="M9" s="9" t="n">
        <v>3</v>
      </c>
      <c r="N9" s="9" t="n">
        <v>0</v>
      </c>
      <c r="O9" s="9" t="inlineStr">
        <is>
          <t>Partial</t>
        </is>
      </c>
      <c r="P9" s="1" t="n"/>
      <c r="Q9" s="1" t="n"/>
      <c r="R9" s="1" t="n"/>
    </row>
    <row r="10" ht="174" customHeight="1">
      <c r="A10" s="9" t="inlineStr">
        <is>
          <t>CSF-AZ-NS-09</t>
        </is>
      </c>
      <c r="B10" s="13" t="inlineStr">
        <is>
          <t>Connect on-premises or cloud network privately</t>
        </is>
      </c>
      <c r="C10" s="8" t="inlineStr">
        <is>
          <t>Use private connections for secure communication between different networks, such as cloud service provider datacenters and on-premises infrastructure in a colocation environment.</t>
        </is>
      </c>
      <c r="D10" s="3" t="inlineStr">
        <is>
          <t>For lightweight site-to-site or point-to-site connectivity, use Azure virtual private network (VPN) to create a secure connection between your on-premises site or end-user device and the Azure virtual network.
For enterprise-level high performance connections, use Azure ExpressRoute (or Virtual WAN) to connect Azure datacenters and on-premises infrastructure in a co-location environment.
When connecting two or more Azure virtual networks together, use virtual network peering. Network traffic between peered virtual networks is private and is kept on the Azure backbone network.</t>
        </is>
      </c>
      <c r="E10" s="8" t="inlineStr">
        <is>
          <t xml:space="preserve">
NS-9</t>
        </is>
      </c>
      <c r="F10" s="4" t="n">
        <v>12.7</v>
      </c>
      <c r="G10" s="3" t="inlineStr">
        <is>
          <t>CA-3, AC-17, AC-4</t>
        </is>
      </c>
      <c r="H10" s="12" t="inlineStr">
        <is>
          <t>N/A</t>
        </is>
      </c>
      <c r="I10" s="11" t="inlineStr">
        <is>
          <t>LOG-2</t>
        </is>
      </c>
      <c r="J10" s="27" t="n"/>
      <c r="K10" s="68" t="inlineStr">
        <is>
          <t>1. Is ExpressRoute or VPN Gateway used for hybrid connectivity?
2. Are Private Endpoints used for inter-service communication?
3. Is traffic encrypted over private connections?
4. Is forced tunneling configured if required?</t>
        </is>
      </c>
      <c r="L10" s="69" t="inlineStr">
        <is>
          <t>1. ExpressRoute/VPN Gateway configuration
2. Private Link endpoint setup
3. Network architecture diagrams
4. Defender for Cloud hybrid network findings</t>
        </is>
      </c>
      <c r="M10" s="9" t="n">
        <v>4</v>
      </c>
      <c r="N10" s="9" t="n">
        <v>0</v>
      </c>
      <c r="O10" s="9" t="inlineStr">
        <is>
          <t>Complete</t>
        </is>
      </c>
      <c r="P10" s="1" t="n"/>
      <c r="Q10" s="1" t="n"/>
      <c r="R10" s="1" t="n"/>
    </row>
    <row r="11" ht="314.25" customHeight="1">
      <c r="A11" s="20" t="inlineStr">
        <is>
          <t>CSF-AZ-NS-10</t>
        </is>
      </c>
      <c r="B11" s="16" t="inlineStr">
        <is>
          <t>Ensure Domain Name System (DNS) security</t>
        </is>
      </c>
      <c r="C11" s="21" t="inlineStr">
        <is>
          <t>Ensure that Domain Name System (DNS) security configuration protects against known risks:
1. Use trusted authoritative and recursive DNS services across your cloud environment to ensure the client (such as operating systems and applications) receives the correct resolution result.
2. Separate the public and private DNS resolution so the DNS resolution process for the private network can be isolated from the public network.
3. Ensure your DNS security strategy also includes mitigations against common attacks, such as dangling DNS, DNS amplifications attacks, DNS poisoning and spoofing, and so on.</t>
        </is>
      </c>
      <c r="D11" s="22" t="inlineStr">
        <is>
          <t>Use Azure recursive DNS (usually assigned to your VM through DHCP or preconfigured in the service) or a trusted external DNS server in your workload recursive DNS setup, such as in the VM's operating system or in the application.
Use Azure Private DNS for a private DNS zone setup where the DNS resolution process does not leave the virtual network. Use a custom DNS to restrict the DNS resolution to only allow trusted resolution to your client.
Use Microsoft Defender for DNS for advanced protection against the following security threats to your workload or your DNS service:
Data exfiltration from your Azure resources using DNS tunneling
Malware communicating with a command-and-control server
Communication with malicious domains, such as phishing and crypto mining
DNS attacks in communication with malicious DNS resolvers
You can also use Microsoft Defender for App Service to detect dangling DNS records if you decommission an App Service website without removing its custom domain from your DNS registrar.</t>
        </is>
      </c>
      <c r="E11" s="20" t="inlineStr">
        <is>
          <t>NS-10</t>
        </is>
      </c>
      <c r="F11" s="23" t="inlineStr">
        <is>
          <t>4.9, 9.2</t>
        </is>
      </c>
      <c r="G11" s="22" t="inlineStr">
        <is>
          <t>SC-20, SC-21</t>
        </is>
      </c>
      <c r="H11" s="24" t="inlineStr">
        <is>
          <t>N/A</t>
        </is>
      </c>
      <c r="I11" s="28" t="inlineStr">
        <is>
          <t>SEF-03</t>
        </is>
      </c>
      <c r="J11" s="29" t="n"/>
      <c r="K11" s="70" t="inlineStr">
        <is>
          <t>1. Is Azure DNS with DNSSEC (where applicable) enabled?
2. Are private DNS zones used for internal name resolution?
3. Are outbound DNS queries filtered (Azure Firewall DNS proxy, custom resolver)?
4. Is SPF/DMARC/DKIM configured for domains?</t>
        </is>
      </c>
      <c r="L11" s="71" t="inlineStr">
        <is>
          <t>1. Azure DNS zone configuration with DNSSEC status
2. Private DNS zone setup documentation
3. Firewall DNS proxy configuration
4. Domain security settings (SPF/DMARC/DKIM)</t>
        </is>
      </c>
      <c r="M11" s="20" t="n">
        <v>4</v>
      </c>
      <c r="N11" s="20" t="n">
        <v>0</v>
      </c>
      <c r="O11" s="20" t="inlineStr">
        <is>
          <t>Partial</t>
        </is>
      </c>
      <c r="P11" s="25" t="n"/>
      <c r="Q11" s="25" t="n"/>
      <c r="R11" s="25" t="n"/>
    </row>
    <row r="12" ht="354.75" customHeight="1">
      <c r="A12" s="20" t="inlineStr">
        <is>
          <t>CSF-AZ-NS-11</t>
        </is>
      </c>
      <c r="B12" s="21" t="inlineStr">
        <is>
          <t>Sensitive ports are not exposed to the internet</t>
        </is>
      </c>
      <c r="C12" s="21" t="inlineStr">
        <is>
          <t>Sensitive network ports are not exposed to the internet, including administrative ports (SSH/RDP), database ports and other common management ports.
This is typically a good indicator that basic network security hygiene is in place, even if implemented manually.</t>
        </is>
      </c>
      <c r="D12" s="22" t="inlineStr">
        <is>
          <t>VMs or load balancers are not in network security groups that expose the following ports:
    - MongoDB ports 27017 and 27018
    - FTP ports 20 or 21
    - port 22
    - port 3389
    - Cassandra ports 7199 or 9160 or 8888
    - Elasticsearch/Kibana ports 9200 or 9300 or 5601
    - Kafka port 9092
    - Memcached port 11211
    - MySQL port 3306
    - Oracle ports 1521 or 2483
    - Postgres port 5432
    - Redis port 6379
    - Windows SQL Server ports 1433 or 1434
    - Telnet port 23"</t>
        </is>
      </c>
      <c r="E12" s="23" t="inlineStr">
        <is>
          <t>N/A</t>
        </is>
      </c>
      <c r="F12" s="23" t="inlineStr">
        <is>
          <t>N/A</t>
        </is>
      </c>
      <c r="G12" s="23" t="inlineStr">
        <is>
          <t>N/A</t>
        </is>
      </c>
      <c r="H12" s="23" t="inlineStr">
        <is>
          <t>N/A</t>
        </is>
      </c>
      <c r="I12" s="23" t="inlineStr">
        <is>
          <t>N/A</t>
        </is>
      </c>
      <c r="J12" s="20" t="inlineStr">
        <is>
          <t>NET-02.1</t>
        </is>
      </c>
      <c r="K12" s="72" t="inlineStr">
        <is>
          <t>Is the organization currently following the Azure Guidance ?</t>
        </is>
      </c>
      <c r="L12" s="72" t="inlineStr">
        <is>
          <t>Confirmation of the Assessment question</t>
        </is>
      </c>
      <c r="M12" s="25" t="n">
        <v>1</v>
      </c>
      <c r="N12" s="25" t="n"/>
      <c r="O12" s="20" t="inlineStr">
        <is>
          <t>Non-Compliant</t>
        </is>
      </c>
      <c r="P12" s="25" t="n"/>
      <c r="Q12" s="25" t="n"/>
      <c r="R12" s="25" t="n"/>
    </row>
    <row r="13" ht="120" customFormat="1" customHeight="1" s="46">
      <c r="A13" s="43" t="inlineStr">
        <is>
          <t>CSF-AZ-NS-12</t>
        </is>
      </c>
      <c r="B13" s="47" t="inlineStr">
        <is>
          <t>Security groups should not allow excessive port ranges</t>
        </is>
      </c>
      <c r="C13" s="47" t="inlineStr">
        <is>
          <t>Cloud networks should minimize potential attack paths by using tightly scoped security group rules, even on non-internet facing resources.
One indicator of this is tightly scoped security groups applied to every compute resource that only allow a limited number of inbound ports (e.g., no more than five ports).</t>
        </is>
      </c>
      <c r="D13" s="48" t="inlineStr">
        <is>
          <t>Network Security Groups allow no more than five inbound ports
Security groups are applied to all VMs/containers, not just subnets</t>
        </is>
      </c>
      <c r="E13" s="4" t="inlineStr">
        <is>
          <t>N/A</t>
        </is>
      </c>
      <c r="F13" s="4" t="inlineStr">
        <is>
          <t>N/A</t>
        </is>
      </c>
      <c r="G13" s="4" t="inlineStr">
        <is>
          <t>N/A</t>
        </is>
      </c>
      <c r="H13" s="4" t="inlineStr">
        <is>
          <t>N/A</t>
        </is>
      </c>
      <c r="I13" s="4" t="inlineStr">
        <is>
          <t>N/A</t>
        </is>
      </c>
      <c r="J13" s="49" t="inlineStr">
        <is>
          <t>NET-03.2</t>
        </is>
      </c>
      <c r="K13" s="73" t="inlineStr">
        <is>
          <t>Is the organization currently following the Azure Guidance ?</t>
        </is>
      </c>
      <c r="L13" s="73" t="inlineStr">
        <is>
          <t>Confirmation of the Assessment question</t>
        </is>
      </c>
      <c r="M13" s="45" t="n">
        <v>1</v>
      </c>
      <c r="N13" s="60" t="n"/>
      <c r="O13" s="9" t="inlineStr">
        <is>
          <t>Complete</t>
        </is>
      </c>
      <c r="P13" s="45" t="n"/>
      <c r="Q13" s="44" t="n"/>
      <c r="R13" s="44" t="n"/>
    </row>
  </sheetData>
  <dataValidations count="1">
    <dataValidation sqref="O2:O13" showDropDown="0" showInputMessage="1" showErrorMessage="1" allowBlank="1" type="list">
      <formula1>"Complete,Partial,Non-Compliant"</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4"/>
  <sheetViews>
    <sheetView topLeftCell="F1" workbookViewId="0">
      <selection activeCell="K1" sqref="K1:L1048576"/>
    </sheetView>
  </sheetViews>
  <sheetFormatPr baseColWidth="8" defaultRowHeight="15"/>
  <cols>
    <col width="25.28515625" customWidth="1" min="1" max="1"/>
    <col width="32.28515625" customWidth="1" style="2" min="2" max="2"/>
    <col width="49.7109375" customWidth="1" style="2" min="3" max="3"/>
    <col width="72.42578125" bestFit="1" customWidth="1" style="5" min="4" max="4"/>
    <col width="21.140625" customWidth="1" style="5" min="5" max="5"/>
    <col width="23.85546875" customWidth="1" min="6" max="6"/>
    <col width="17.85546875" customWidth="1" style="2" min="7" max="7"/>
    <col width="16.5703125" customWidth="1" style="2" min="8" max="8"/>
    <col width="18.42578125" customWidth="1" min="9" max="10"/>
    <col width="52.5703125" customWidth="1" style="74" min="11" max="11"/>
    <col width="46.5703125" customWidth="1" style="74" min="12" max="12"/>
    <col width="17.7109375" customWidth="1" min="13" max="13"/>
    <col width="25.28515625" customWidth="1" min="14" max="14"/>
    <col width="21" customWidth="1" min="15" max="15"/>
    <col width="27.5703125" customWidth="1" min="16" max="16"/>
    <col width="40.28515625" customWidth="1" min="17" max="17"/>
    <col width="49.5703125" customWidth="1" min="18" max="18"/>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 t="inlineStr">
        <is>
          <t>IANS Azure Mapping</t>
        </is>
      </c>
      <c r="K1" s="67" t="inlineStr">
        <is>
          <t xml:space="preserve">Assessment Question </t>
        </is>
      </c>
      <c r="L1" s="67" t="inlineStr">
        <is>
          <t>Evidence to Collect</t>
        </is>
      </c>
      <c r="M1" s="6" t="inlineStr">
        <is>
          <t>Evidence Count</t>
        </is>
      </c>
      <c r="N1" s="6" t="inlineStr">
        <is>
          <t>Available Evidence Count</t>
        </is>
      </c>
      <c r="O1" s="6" t="inlineStr">
        <is>
          <t>Compliance Status</t>
        </is>
      </c>
      <c r="P1" s="6" t="inlineStr">
        <is>
          <t>Risk Severity (if non-compliant)</t>
        </is>
      </c>
      <c r="Q1" s="6" t="inlineStr">
        <is>
          <t xml:space="preserve">Implementation Gap </t>
        </is>
      </c>
      <c r="R1" s="6" t="inlineStr">
        <is>
          <t>Notes/Comments</t>
        </is>
      </c>
    </row>
    <row r="2" ht="259.5" customHeight="1">
      <c r="A2" s="9" t="inlineStr">
        <is>
          <t>CSF-AZ-IM-01</t>
        </is>
      </c>
      <c r="B2" s="13" t="inlineStr">
        <is>
          <t>Use centralized identity and authentication system</t>
        </is>
      </c>
      <c r="C2" s="14" t="inlineStr">
        <is>
          <t>Use a centralized identity and authentication system to govern your organization's identities and authentications for cloud and non-cloud resources.</t>
        </is>
      </c>
      <c r="D2" s="3" t="inlineStr">
        <is>
          <t>Azure Active Directory (Azure AD) is Azure's identity and authentication management service. You should standardize on Azure AD to govern your organization's identity and authentication in:
Microsoft cloud resources, such as Azure Storage, Azure Virtual Machines (Linux and Windows), Azure Key Vault, PaaS, and SaaS applications.
Your organization's resources, such as applications on Azure, third-party applications running on your corporate network resources, and third-party SaaS applications.
Your enterprise identities in Active Directory by synchronization to Azure AD to ensure a consistent and centrally managed identity strategy.
For the Azure services that apply, avoid use of local authentication methods and instead use Azure Active Directory to centralize your service authentications.</t>
        </is>
      </c>
      <c r="E2" s="10" t="inlineStr">
        <is>
          <t>IM-1</t>
        </is>
      </c>
      <c r="F2" s="4" t="inlineStr">
        <is>
          <t>6.7, 12.5</t>
        </is>
      </c>
      <c r="G2" s="3" t="inlineStr">
        <is>
          <t>AC-2, AC-3, IA-2, IA-8</t>
        </is>
      </c>
      <c r="H2" s="12" t="inlineStr">
        <is>
          <t>7.2, 8.3</t>
        </is>
      </c>
      <c r="I2" s="11" t="inlineStr">
        <is>
          <t>IAM-01, IAM-02, IAM-03</t>
        </is>
      </c>
      <c r="J2" s="27" t="n"/>
      <c r="K2" s="68" t="inlineStr">
        <is>
          <t>1. Are all Azure resources (VMs, SQL, Storage, Key Vault, PaaS) integrated with Azure AD instead of local accounts?
2. Is on-premises Active Directory synchronized with Azure AD using AD Connect or SCIM?
3. Are third-party SaaS applications federated with Azure AD SSO (SAML/OIDC)?</t>
        </is>
      </c>
      <c r="L2" s="69" t="inlineStr">
        <is>
          <t>1. Azure AD tenant configuration screenshot (Azure Portal → Azure Active Directory → Overview).
2. Export of Azure AD Connect sync rules (AD Connect → Synchronization Rules Editor).
3. List of Enterprise Applications integrated with SSO (AzureAD PowerShell: Get-AzureADServicePrincipal)</t>
        </is>
      </c>
      <c r="M2" s="9" t="n">
        <v>3</v>
      </c>
      <c r="N2" s="9" t="n"/>
      <c r="O2" s="9" t="inlineStr">
        <is>
          <t>Partial</t>
        </is>
      </c>
      <c r="P2" s="1" t="n"/>
      <c r="Q2" s="1" t="n"/>
      <c r="R2" s="1" t="n"/>
    </row>
    <row r="3" ht="294" customHeight="1">
      <c r="A3" s="9" t="inlineStr">
        <is>
          <t>CSF-AZ-IM-02</t>
        </is>
      </c>
      <c r="B3" s="13" t="inlineStr">
        <is>
          <t>Protect identity and authentication systems</t>
        </is>
      </c>
      <c r="C3" s="8" t="inlineStr">
        <is>
          <t>Secure your identity and authentication system as a high priority in your organization's cloud security practice. Common security controls include:
1. Restrict privileged roles and accounts
2. Require strong authentication for all privileged access
3. Monitor and audit high risk activities</t>
        </is>
      </c>
      <c r="D3" s="3" t="inlineStr">
        <is>
          <t>Use the Azure AD security baseline and the Azure AD Identity Secure Score to evaluate your Azure AD identity security posture, and remediate security and configuration gaps. The Azure AD Identity Secure Score evaluates Azure AD for the following configurations:
Use limited administrative roles
Turn on user risk policy
Designate more than one global admin
Enable policy to block legacy authentication
Ensure all users can complete multi-factor authentication for secure access
Require MFA for administrative roles
Enable self-service password reset
Do not expire passwords
Turn on sign-in risk policy
Do not allow users to grant consent to unmanaged applications
Use Azure AD Identity Protection to detect, investigate, and remediate identity-based risks. To similarly protect your on-premises Active Directory domain, use Defender for Identity.</t>
        </is>
      </c>
      <c r="E3" s="9" t="inlineStr">
        <is>
          <t>IM-2</t>
        </is>
      </c>
      <c r="F3" s="4" t="inlineStr">
        <is>
          <t>5.4, 6.5</t>
        </is>
      </c>
      <c r="G3" s="3" t="inlineStr">
        <is>
          <t>AC-2, AC-3, IA-2, IA-8, SI-4</t>
        </is>
      </c>
      <c r="H3" s="12" t="inlineStr">
        <is>
          <t>8.2, 8.3</t>
        </is>
      </c>
      <c r="I3" s="11" t="inlineStr">
        <is>
          <t>IAM-05, IAM-06, IVS-05</t>
        </is>
      </c>
      <c r="J3" s="27" t="n"/>
      <c r="K3" s="68" t="inlineStr">
        <is>
          <t>1. Is Azure AD Identity Secure Score reviewed and tracked for remediation?
2. Are Identity Protection policies (user risk, sign-in risk) enabled?
3. Is Microsoft Defender for Identity deployed to monitor on-premises AD for lateral movement, credential theft, and Kerberos abuse?
4. Is logging enabled for privileged role assignments and admin consent to applications?</t>
        </is>
      </c>
      <c r="L3" s="69" t="inlineStr">
        <is>
          <t>1. Azure AD Identity Secure Score export (Azure Portal → Security → Identity Secure Score → Export).
2. Conditional Access and Identity Protection policy export (AzureAD PowerShell: Get-AzureADMSConditionalAccessPolicy).
3. Defender for Identity sensor deployment status (Defender for Identity Portal → Configuration → Sensors).
4. Azure AD Audit logs for role assignments (AzureAD PowerShell: Get-AzureADAuditDirectoryLogs).</t>
        </is>
      </c>
      <c r="M3" s="9" t="n">
        <v>4</v>
      </c>
      <c r="N3" s="9" t="n"/>
      <c r="O3" s="9" t="inlineStr">
        <is>
          <t>Complete</t>
        </is>
      </c>
      <c r="P3" s="1" t="n"/>
      <c r="Q3" s="1" t="n"/>
      <c r="R3" s="1" t="n"/>
    </row>
    <row r="4" ht="294" customHeight="1">
      <c r="A4" s="9" t="inlineStr">
        <is>
          <t>CSF-AZ-IM-03</t>
        </is>
      </c>
      <c r="B4" s="13" t="inlineStr">
        <is>
          <t>Manage application identities securely and automatically</t>
        </is>
      </c>
      <c r="C4" s="8"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D4" s="3" t="inlineStr">
        <is>
          <t>Use Azure managed identities, which can authenticate to Azure services and resources that support Azure AD authentication. Managed identity credentials are fully managed, rotated, and protected by the platform, avoiding hard-coded credentials in source code or configuration files.
For services that don't support managed identities, use Azure AD to create a service principal with restricted permissions at the resource level. It is recommended to configure service principals with certificate credentials and fall back to client secrets for authentication.</t>
        </is>
      </c>
      <c r="E4" s="8" t="inlineStr">
        <is>
          <t>IM-3:</t>
        </is>
      </c>
      <c r="F4" s="4" t="inlineStr">
        <is>
          <t>N/A</t>
        </is>
      </c>
      <c r="G4" s="3" t="inlineStr">
        <is>
          <t>AC-2, AC-3, IA-4, IA-5, IA-9</t>
        </is>
      </c>
      <c r="H4" s="12" t="inlineStr">
        <is>
          <t>N/A</t>
        </is>
      </c>
      <c r="I4" s="11" t="inlineStr">
        <is>
          <t>IAM-07, IAM-08, IAM-09</t>
        </is>
      </c>
      <c r="J4" s="27" t="n"/>
      <c r="K4" s="68" t="inlineStr">
        <is>
          <t xml:space="preserve">1. Are Managed Identities used for applications instead of hard-coded credentials?
2. For applications that require service principals, are certificate-based credentials enforced over client secrets?
3. Is credential rotation automated via Key Vault?
4. Are service principal permissions restricted to least privilege?
</t>
        </is>
      </c>
      <c r="L4" s="69" t="inlineStr">
        <is>
          <t>1. List of resources with Managed Identities enabled (Azure CLI: az resource list --query "[?identity!=null]").
2. Service principal credential types (Azure CLI: az ad sp credential list --id &lt;AppID&gt;).
3. Key Vault secret rotation policy JSON export (az keyvault secret show --vault-name &lt;vault&gt; --name &lt;secret&gt;).
4. Role assignments of service principals (Azure CLI: az role assignment list --assignee &lt;AppID&gt;)</t>
        </is>
      </c>
      <c r="M4" s="9" t="n">
        <v>4</v>
      </c>
      <c r="N4" s="9" t="n"/>
      <c r="O4" s="9" t="inlineStr">
        <is>
          <t>Complete</t>
        </is>
      </c>
      <c r="P4" s="1" t="n"/>
      <c r="Q4" s="1" t="n"/>
      <c r="R4" s="1" t="n"/>
    </row>
    <row r="5" ht="150" customHeight="1">
      <c r="A5" s="9" t="inlineStr">
        <is>
          <t>CSF-AZ-IM-04</t>
        </is>
      </c>
      <c r="B5" s="13" t="inlineStr">
        <is>
          <t>Authenticate server and services</t>
        </is>
      </c>
      <c r="C5" s="8"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t>
        </is>
      </c>
      <c r="D5" s="3" t="inlineStr">
        <is>
          <t>Many Azure services support TLS authentication by default. For services that don't support TLS authentication by default, or support disabling TLS, ensure it is always enabled to support the server/client authentication. Your client application should also be designed to verify server/client identity (by verifying the server’s certificate issued by a trusted certificate authority) in the handshake stage.</t>
        </is>
      </c>
      <c r="E5" s="8" t="inlineStr">
        <is>
          <t xml:space="preserve">
IM-4</t>
        </is>
      </c>
      <c r="F5" s="4" t="inlineStr">
        <is>
          <t>N/A</t>
        </is>
      </c>
      <c r="G5" s="3" t="inlineStr">
        <is>
          <t>IA-9</t>
        </is>
      </c>
      <c r="H5" s="12" t="inlineStr">
        <is>
          <t>N/A</t>
        </is>
      </c>
      <c r="I5" s="11" t="inlineStr">
        <is>
          <t>IAM-10, IAM-11, IAM-12</t>
        </is>
      </c>
      <c r="J5" s="27" t="n"/>
      <c r="K5" s="68" t="inlineStr">
        <is>
          <t>1. Is HTTPS/TLS enforced on all Azure services (Storage, App Services, Key Vault)?
2. Are certificates issued from trusted CAs and stored in Azure Key Vault/App Service Certificates?
3. Is mutual TLS (mTLS) configured where service-to-service trust is required?
4. Are legacy/unencrypted protocols disabled (FTP, LDAP without TLS, HTTP)?</t>
        </is>
      </c>
      <c r="L5" s="69" t="inlineStr">
        <is>
          <t xml:space="preserve">1. Azure Policy compliance report for “HTTPS Only” (Azure Policy → Assignments →Effect: Deny).
2. Key Vault certificate inventory export (az keyvault certificate list --vault-name &lt;vault&gt;).
3. App Gateway / API Management TLS configuration JSON.
4. List of enabled protocols per Storage account (az storage account show --name &lt;storage&gt; --query "enableHttpsTrafficOnly").
</t>
        </is>
      </c>
      <c r="M5" s="9" t="n">
        <v>4</v>
      </c>
      <c r="N5" s="9" t="n"/>
      <c r="O5" s="9" t="inlineStr">
        <is>
          <t>Non-Compliant</t>
        </is>
      </c>
      <c r="P5" s="1" t="n"/>
      <c r="Q5" s="1" t="n"/>
      <c r="R5" s="1" t="n"/>
    </row>
    <row r="6" ht="158.25" customHeight="1">
      <c r="A6" s="9" t="inlineStr">
        <is>
          <t>CSF-AZ-IM-05</t>
        </is>
      </c>
      <c r="B6" s="13" t="inlineStr">
        <is>
          <t>Use single sign-on (SSO) for application access</t>
        </is>
      </c>
      <c r="C6" s="8" t="inlineStr">
        <is>
          <t>Use single sign-on (SSO) to simplify the user experience for authenticating to resources including applications and data across cloud services and on-premises environments.</t>
        </is>
      </c>
      <c r="D6" s="3" t="inlineStr">
        <is>
          <t xml:space="preserve"> Use Azure AD for workload application access (customer facing) access through Azure AD single sign-on (SSO), reducing the need for duplicate accounts. Azure AD provides identity and access management to Azure resources (in the management plane, including CLI, PowerShell, the portal), cloud applications, and on-premises applications.</t>
        </is>
      </c>
      <c r="E6" s="9" t="inlineStr">
        <is>
          <t>IM-5</t>
        </is>
      </c>
      <c r="F6" s="4" t="n">
        <v>12.5</v>
      </c>
      <c r="G6" s="3" t="inlineStr">
        <is>
          <t>IA-4, IA-2, IA-8</t>
        </is>
      </c>
      <c r="H6" s="12" t="inlineStr">
        <is>
          <t>N/A</t>
        </is>
      </c>
      <c r="I6" s="11" t="inlineStr">
        <is>
          <t>IAM-13, IAM-14</t>
        </is>
      </c>
      <c r="J6" s="27" t="n"/>
      <c r="K6" s="68" t="inlineStr">
        <is>
          <t>1. Are enterprise SaaS applications federated with Azure AD using SAML or OIDC?
2. Are guest users accessing apps via Azure AD B2B configured with Conditional Access policies?
3. Are any applications still using standalone logins outside Azure AD federation?</t>
        </is>
      </c>
      <c r="L6" s="69" t="inlineStr">
        <is>
          <t>1. Enterprise Application list (AzureAD PowerShell: Get-AzureADServicePrincipal | Select DisplayName, AppId).
2. Federation settings for B2B/B2C (Azure AD → External Identities → Cross-tenant access).
3. Conditional Access policy assignments for SaaS apps.
4. Sign-in logs showing federated vs non-federated authentication (Azure Portal → Azure AD → Sign-ins)</t>
        </is>
      </c>
      <c r="M6" s="9" t="n">
        <v>4</v>
      </c>
      <c r="N6" s="9" t="n"/>
      <c r="O6" s="9" t="inlineStr">
        <is>
          <t>Partial</t>
        </is>
      </c>
      <c r="P6" s="1" t="n"/>
      <c r="Q6" s="1" t="n"/>
      <c r="R6" s="1" t="n"/>
    </row>
    <row r="7" ht="300" customHeight="1">
      <c r="A7" s="9" t="inlineStr">
        <is>
          <t>CSF-AZ-IM-06</t>
        </is>
      </c>
      <c r="B7" s="13" t="inlineStr">
        <is>
          <t>Use strong authentication controls</t>
        </is>
      </c>
      <c r="C7" s="8" t="inlineStr">
        <is>
          <t>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t>
        </is>
      </c>
      <c r="D7" s="3" t="inlineStr">
        <is>
          <t>Azure AD supports strong authentication controls through passwordless methods and multi-factor authentication (MFA).
Passwordless authentication: Use passwordless authentication as your default authentication method. There are three options available in passwordless authentication: Windows Hello for Business, Microsoft Authenticator app phone sign-in, and FIDO2 security keys. In addition, customers can use on-premises authentication methods such as smart cards.
Multi-factor authentication: Azure MFA can be enforced on all users, select users, or at the per-user level based on sign-in conditions and risk factors. Enable Azure MFA and follow Microsoft Defender for Cloud identity and access management recommendations for your MFA setup.
If legacy password-based authentication is still used for Azure AD authentication, be aware that cloud-only accounts (user accounts created directly in Azure) have a default baseline password policy. And hybrid accounts (user accounts that come from on-premises Active Directory) follow the on-premises password policies.
For third-party applications and services that may have default IDs and passwords, you should disable or change them during initial service setup.</t>
        </is>
      </c>
      <c r="E7" s="8" t="inlineStr">
        <is>
          <t xml:space="preserve">
IM-6</t>
        </is>
      </c>
      <c r="F7" s="4" t="inlineStr">
        <is>
          <t>6.3, 6.4</t>
        </is>
      </c>
      <c r="G7" s="3" t="inlineStr">
        <is>
          <t>AC-2, AC-3, IA-2, IA-5, IA-8</t>
        </is>
      </c>
      <c r="H7" s="12" t="inlineStr">
        <is>
          <t>7.2, 8.2, 8.3, 8.4</t>
        </is>
      </c>
      <c r="I7" s="11" t="inlineStr">
        <is>
          <t>IAM-15, IAM-16</t>
        </is>
      </c>
      <c r="J7" s="27" t="n"/>
      <c r="K7" s="68" t="inlineStr">
        <is>
          <t xml:space="preserve">1. Is MFA enforced for all privileged accounts and end users via Conditional Access?
2. Are passwordless authentication methods (FIDO2, Authenticator app, Windows Hello) enabled?
3. Is Azure AD Password Protection in place with custom banned password lists?
4. Are break-glass accounts exempt from MFA but monitored with alerts?
</t>
        </is>
      </c>
      <c r="L7" s="69" t="inlineStr">
        <is>
          <t>1. Conditional Access policies export (Get-AzureADMSConditionalAccessPolicy).
2. MFA registration report (Azure AD → Security → MFA → Registration Details).
3. Azure AD Password Protection policy configuration (Azure AD → Security →
Authentication Methods → Password Protection).
4. Azure Monitor alerts for break-glass account usage.</t>
        </is>
      </c>
      <c r="M7" s="9" t="n">
        <v>4</v>
      </c>
      <c r="N7" s="9" t="n"/>
      <c r="O7" s="9" t="inlineStr">
        <is>
          <t>Partial</t>
        </is>
      </c>
      <c r="P7" s="1" t="n"/>
      <c r="Q7" s="1" t="n"/>
      <c r="R7" s="1" t="n"/>
    </row>
    <row r="8" ht="285" customHeight="1">
      <c r="A8" s="9" t="inlineStr">
        <is>
          <t>CSF-AZ-IM-07</t>
        </is>
      </c>
      <c r="B8" s="13" t="inlineStr">
        <is>
          <t>Restrict resource access based on conditions</t>
        </is>
      </c>
      <c r="C8" s="8"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D8" s="3" t="inlineStr">
        <is>
          <t>Use Azure AD conditional access for more granular access controls based on user-defined conditions, such as requiring user logins from certain IP ranges (or devices) to use MFA. Azure AD Conditional Access allows you to enforce access controls on your organization’s apps based on certain conditions.
Define the applicable conditions and criteria for Azure AD conditional access in the workload. Consider the following common use cases:
Requiring multi-factor authentication for users with administrative roles
Requiring multi-factor authentication for Azure management tasks
Blocking sign-ins for users attempting to use legacy authentication protocols
Requiring trusted locations for Azure AD Multi-Factor Authentication registration
Blocking or granting access from specific locations
Blocking risky sign-in behaviors
Requiring organization-managed devices for specific applications
Note: Granular authentication session management controls can also be implemented through Azure AD conditional access policy, such as sign-in frequency and persistent browser session.</t>
        </is>
      </c>
      <c r="E8" s="8" t="inlineStr">
        <is>
          <t xml:space="preserve">
IM-7</t>
        </is>
      </c>
      <c r="F8" s="4" t="inlineStr">
        <is>
          <t>3.3, 6.4, 13.5</t>
        </is>
      </c>
      <c r="G8" s="3" t="inlineStr">
        <is>
          <t>AC-2, AC-3, AC-6</t>
        </is>
      </c>
      <c r="H8" s="12" t="n">
        <v>7.2</v>
      </c>
      <c r="I8" s="11" t="inlineStr">
        <is>
          <t>IAM-04, IAM-17</t>
        </is>
      </c>
      <c r="J8" s="27" t="n"/>
      <c r="K8" s="68" t="inlineStr">
        <is>
          <t>1. Are Conditional Access policies applied based on device compliance (Intune), location, or risk level?
2. Are session controls (sign-in frequency, persistent browser sessions) enforced?
3. Are Conditional Access policies tested against high-risk users and applications?</t>
        </is>
      </c>
      <c r="L8" s="69" t="inlineStr">
        <is>
          <t>1. Full Conditional Access policy JSON export.
2. Intune compliance policy configuration export.
3. Azure AD sign-in logs showing risk-based MFA enforcement.
4. Conditional Access “What-If” test results (Azure Portal → Conditional Access → What If).</t>
        </is>
      </c>
      <c r="M8" s="9" t="n">
        <v>4</v>
      </c>
      <c r="N8" s="9" t="n"/>
      <c r="O8" s="9" t="inlineStr">
        <is>
          <t>Complete</t>
        </is>
      </c>
      <c r="P8" s="1" t="n"/>
      <c r="Q8" s="1" t="n"/>
      <c r="R8" s="1" t="n"/>
    </row>
    <row r="9" ht="255" customHeight="1">
      <c r="A9" s="9" t="inlineStr">
        <is>
          <t>CSF-AZ-IM-08</t>
        </is>
      </c>
      <c r="B9" s="13" t="inlineStr">
        <is>
          <t>Restrict the exposure of credentials and secrets</t>
        </is>
      </c>
      <c r="C9" s="8" t="inlineStr">
        <is>
          <t>Ensure that application developers securely handle credentials and secrets:
Avoid embedding the credentials and secrets into the code and configuration files
Use key vault or a secure key store service to store the credentials and secrets
Scan for credentials in source code.</t>
        </is>
      </c>
      <c r="D9" s="3" t="inlineStr">
        <is>
          <t>When using a managed identity is not an option, ensure that secrets and credentials are stored in secure locations such as Azure Key Vault, instead of embedding them into the code and configuration files.
If you use Azure DevOps and GitHub for your code management platform:
Implement Azure DevOps Credential Scanner to identify credentials within the code.
For GitHub, use the native secret scanning feature to identify credentials or other form of secrets within the code.
Clients such as Azure Functions, Azure Apps services, and VMs can use managed identities to access Azure Key Vault securely. See Data Protection controls related to the use of Azure Key Vault for secrets management.
Note: Azure Key Vault provides automatic rotation for supported services. For secrets that cannot be automatically rotated, ensure they are manually rotated periodically and purged when no longer in use.</t>
        </is>
      </c>
      <c r="E9" s="9" t="inlineStr">
        <is>
          <t>IM-8</t>
        </is>
      </c>
      <c r="F9" s="4" t="inlineStr">
        <is>
          <t>16.9, 16.12</t>
        </is>
      </c>
      <c r="G9" s="3" t="inlineStr">
        <is>
          <t>IA-5</t>
        </is>
      </c>
      <c r="H9" s="12" t="inlineStr">
        <is>
          <t>3.5, 6.3, 8.2</t>
        </is>
      </c>
      <c r="I9" s="11" t="inlineStr">
        <is>
          <t>IAM-18, IVS-02</t>
        </is>
      </c>
      <c r="J9" s="27" t="n"/>
      <c r="K9" s="68" t="inlineStr">
        <is>
          <t>1. Are all application secrets, keys, and certificates stored in Azure Key Vault?
2. Is RBAC enforced for Key Vault access instead of using access policies only?
3. Are DevOps pipelines scanned for secrets (e.g., GitHub secret scanning, Microsoft Security DevOps)?
4. Are rotation schedules in place for secrets/certificates?
5. Are audit logs enabled for Key Vault access events?</t>
        </is>
      </c>
      <c r="L9" s="69" t="inlineStr">
        <is>
          <t>1. Key Vault access policy and RBAC role assignment export (az keyvault show --name &lt;vault&gt; and az role assignment list).
2. Key Vault diagnostic settings showing logs sent to Log Analytics/Event Hub.
3. Secret scanning reports from GitHub/Azure DevOps.
4. Secret and certificate expiry/rotation configuration (az keyvault certificate list --vault-name &lt;vault&gt;).</t>
        </is>
      </c>
      <c r="M9" s="9" t="n">
        <v>4</v>
      </c>
      <c r="N9" s="9" t="n"/>
      <c r="O9" s="9" t="inlineStr">
        <is>
          <t>Non-Compliant</t>
        </is>
      </c>
      <c r="P9" s="1" t="n"/>
      <c r="Q9" s="1" t="n"/>
      <c r="R9" s="1" t="n"/>
    </row>
    <row r="10" ht="222" customHeight="1">
      <c r="A10" s="9" t="inlineStr">
        <is>
          <t>CSF-AZ-IM-09</t>
        </is>
      </c>
      <c r="B10" s="16" t="inlineStr">
        <is>
          <t>Secure user access to existing applications</t>
        </is>
      </c>
      <c r="C10" s="21" t="inlineStr">
        <is>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Enforce a centralized strong authentication
Monitor and control risky end-user activities
Monitor and remediate risky legacy applications activities
Detect and prevent sensitive data transmission</t>
        </is>
      </c>
      <c r="D10" s="22" t="inlineStr">
        <is>
          <t>Protect your on-premises and non-native cloud applications using legacy authentication by connecting them to:
Azure AD Application Proxy and configure header-based authentication to allow single sign-on (SSO) access to the applications for remote users, while explicitly validating the trustworthiness of both remote users and devices with Azure AD Conditional Access. If required, use a a third-party Software-Defined Perimeter (SDP) solution which can offer similar functionality.
Microsoft Defender for Cloud Apps, which serves a cloud access security broker (CASB) service to monitor and block user access to unapproved third-party SaaS applications.
Your existing third-party application delivery controllers and networks.</t>
        </is>
      </c>
      <c r="E10" s="21" t="inlineStr">
        <is>
          <t>IM-9</t>
        </is>
      </c>
      <c r="F10" s="23" t="inlineStr">
        <is>
          <t>6.7, 12.5</t>
        </is>
      </c>
      <c r="G10" s="22" t="inlineStr">
        <is>
          <t>AC-2, AC-3, SC-11</t>
        </is>
      </c>
      <c r="H10" s="24" t="inlineStr">
        <is>
          <t>N/A</t>
        </is>
      </c>
      <c r="I10" s="28" t="inlineStr">
        <is>
          <t>EKM-01, EKM-02, IAM-19</t>
        </is>
      </c>
      <c r="J10" s="29" t="n"/>
      <c r="K10" s="70" t="inlineStr">
        <is>
          <t xml:space="preserve">1. Are Azure AD sign-in and audit logs integrated into Sentinel or another SIEM?
2. Are risky sign-ins, leaked credentials, and impossible travel events monitored?
3. Are automated remediation actions applied (MFA challenge, block, conditional access)?
4. Are deprecated accounts or stale service principals detected and alerted on?
</t>
        </is>
      </c>
      <c r="L10" s="71" t="inlineStr">
        <is>
          <t>1. Azure AD sign-in logs export (az ad signin list or Portal → Azure AD → Sign-ins).
2. Sentinel analytics rules for identity anomalies (Azure Sentinel → Analytics → Rule templates).
3. Identity Protection risky users/sign-ins export.
4. Reports of inactive accounts (Get-AzureADUser -All $true | ?{$_.AccountEnabled -eq $false})</t>
        </is>
      </c>
      <c r="M10" s="20" t="n">
        <v>4</v>
      </c>
      <c r="N10" s="20" t="n"/>
      <c r="O10" s="20" t="inlineStr">
        <is>
          <t>Non-Compliant</t>
        </is>
      </c>
      <c r="P10" s="25" t="n"/>
      <c r="Q10" s="25" t="n"/>
      <c r="R10" s="25" t="n"/>
    </row>
    <row r="11" ht="60" customHeight="1">
      <c r="A11" s="15" t="inlineStr">
        <is>
          <t>CSF-AZ-IM-10</t>
        </is>
      </c>
      <c r="B11" s="19" t="inlineStr">
        <is>
          <t>SSO utilized for most console/portal access</t>
        </is>
      </c>
      <c r="C11" s="19" t="inlineStr">
        <is>
          <t>Access to the CSP's console/portal is done through consolidated single sign-on. This can be via an external SSO provider or one built into the cloud platform.</t>
        </is>
      </c>
      <c r="D11" s="4" t="inlineStr">
        <is>
          <t>This is the default for Azure, which requires the use of Entra ID (formerly Azure AD)</t>
        </is>
      </c>
      <c r="E11" s="4" t="n"/>
      <c r="F11" s="1" t="n"/>
      <c r="G11" s="19" t="n"/>
      <c r="H11" s="19" t="n"/>
      <c r="I11" s="1" t="n"/>
      <c r="J11" s="1" t="inlineStr">
        <is>
          <t>IAM-02.1</t>
        </is>
      </c>
      <c r="K11" s="72" t="inlineStr">
        <is>
          <t>Is the organization currently following the Azure Guidance ?</t>
        </is>
      </c>
      <c r="L11" s="72" t="inlineStr">
        <is>
          <t>Confirmation of the Assessment question</t>
        </is>
      </c>
      <c r="M11" s="1" t="n">
        <v>1</v>
      </c>
      <c r="N11" s="1" t="n"/>
      <c r="O11" s="20" t="inlineStr">
        <is>
          <t>Complete</t>
        </is>
      </c>
      <c r="P11" s="1" t="n"/>
      <c r="Q11" s="1" t="n"/>
      <c r="R11" s="1" t="n"/>
    </row>
    <row r="12" ht="45" customHeight="1">
      <c r="A12" s="15" t="inlineStr">
        <is>
          <t>CSF-AZ-IM-11</t>
        </is>
      </c>
      <c r="B12" s="19" t="inlineStr">
        <is>
          <t>Users do not access the cloud console/portal outside of SSO</t>
        </is>
      </c>
      <c r="C12" s="19" t="inlineStr">
        <is>
          <t>Access to the cloud console or portal is only through the SSO portal, with the exception of a break-glass account (in case the SSO integration breaks).</t>
        </is>
      </c>
      <c r="D12" s="4" t="inlineStr">
        <is>
          <t>This is the default for Azure, which requires the use of Entra ID</t>
        </is>
      </c>
      <c r="E12" s="4" t="n"/>
      <c r="F12" s="1" t="n"/>
      <c r="G12" s="19" t="n"/>
      <c r="H12" s="19" t="n"/>
      <c r="I12" s="1" t="n"/>
      <c r="J12" s="1" t="inlineStr">
        <is>
          <t>IAM-03.1</t>
        </is>
      </c>
      <c r="K12" s="72" t="inlineStr">
        <is>
          <t>Is the organization currently following the Azure Guidance ?</t>
        </is>
      </c>
      <c r="L12" s="72" t="inlineStr">
        <is>
          <t>Confirmation of the Assessment question</t>
        </is>
      </c>
      <c r="M12" s="1" t="n">
        <v>1</v>
      </c>
      <c r="N12" s="1" t="n"/>
      <c r="O12" s="20" t="inlineStr">
        <is>
          <t>Complete</t>
        </is>
      </c>
      <c r="P12" s="1" t="n"/>
      <c r="Q12" s="1" t="n"/>
      <c r="R12" s="1" t="n"/>
    </row>
    <row r="13" ht="180" customHeight="1">
      <c r="A13" s="15" t="inlineStr">
        <is>
          <t>CSF-AZ-IM-12</t>
        </is>
      </c>
      <c r="B13" s="50" t="inlineStr">
        <is>
          <t>An IAM data perimeter is enforced</t>
        </is>
      </c>
      <c r="C13" s="50" t="inlineStr">
        <is>
          <t>An IAM data perimeter as an advanced concept that restricts where API calls are able to originate. While it may be implemented in all environments, it is especially important for production accounts.
This is typically based on IP address but may also rely on device restrictions. Each cloud provider enforces these differently (and not all cloud providers support the capability at all), but the goal is to prevent an attacker from stealing static or session credentials (including tokens) and using them from a location under that attackers control.</t>
        </is>
      </c>
      <c r="D13" s="23" t="inlineStr">
        <is>
          <t>The subscription uses conditional access policies consistently</t>
        </is>
      </c>
      <c r="E13" s="23" t="n"/>
      <c r="F13" s="25" t="n"/>
      <c r="G13" s="50" t="n"/>
      <c r="H13" s="50" t="n"/>
      <c r="I13" s="25" t="n"/>
      <c r="J13" s="25" t="inlineStr">
        <is>
          <t>IAM-05.1</t>
        </is>
      </c>
      <c r="K13" s="72" t="inlineStr">
        <is>
          <t>Is the organization currently following the Azure Guidance ?</t>
        </is>
      </c>
      <c r="L13" s="72" t="inlineStr">
        <is>
          <t>Confirmation of the Assessment question</t>
        </is>
      </c>
      <c r="M13" s="25" t="n">
        <v>1</v>
      </c>
      <c r="N13" s="25" t="n"/>
      <c r="O13" s="20" t="inlineStr">
        <is>
          <t>Partial</t>
        </is>
      </c>
      <c r="P13" s="25" t="n"/>
      <c r="Q13" s="25" t="n"/>
      <c r="R13" s="25" t="n"/>
    </row>
    <row r="14" ht="120" customHeight="1">
      <c r="A14" s="15" t="inlineStr">
        <is>
          <t>CSF-AZ-IM-13</t>
        </is>
      </c>
      <c r="B14" s="19" t="inlineStr">
        <is>
          <t>JIT access used for access to production deployments</t>
        </is>
      </c>
      <c r="C14" s="19" t="inlineStr">
        <is>
          <t>Rather than allowing persistent human access to cloud deployments, a just-in-time (JIT) system provisions time-limited, session-based access on demand.
JIT requests must meet policy guidelines and the system must support out-of-band approvals for highly privileged access.</t>
        </is>
      </c>
      <c r="D14" s="4" t="inlineStr">
        <is>
          <t>Azure PIM is enabled and used on all production subscriptions</t>
        </is>
      </c>
      <c r="E14" s="4" t="n"/>
      <c r="F14" s="1" t="n"/>
      <c r="G14" s="19" t="n"/>
      <c r="H14" s="19" t="n"/>
      <c r="I14" s="1" t="n"/>
      <c r="J14" s="1" t="inlineStr">
        <is>
          <t>IAM-05.2</t>
        </is>
      </c>
      <c r="K14" s="75" t="inlineStr">
        <is>
          <t>Is the organization currently following the Azure Guidance ?</t>
        </is>
      </c>
      <c r="L14" s="73" t="inlineStr">
        <is>
          <t>Confirmation of the Assessment question</t>
        </is>
      </c>
      <c r="M14" s="1" t="n">
        <v>1</v>
      </c>
      <c r="N14" s="26" t="n"/>
      <c r="O14" s="20" t="inlineStr">
        <is>
          <t>Complete</t>
        </is>
      </c>
      <c r="P14" s="1" t="n"/>
      <c r="Q14" s="1" t="n"/>
      <c r="R14" s="1" t="n"/>
    </row>
  </sheetData>
  <dataValidations count="1">
    <dataValidation sqref="O2:O14" showDropDown="0" showInputMessage="1" showErrorMessage="1" allowBlank="1" type="list">
      <formula1>"Complete,Partial,Non-Compliant"</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38.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7" t="inlineStr">
        <is>
          <t xml:space="preserve">Assessment Question </t>
        </is>
      </c>
      <c r="K1" s="67" t="inlineStr">
        <is>
          <t>Evidence to Collect</t>
        </is>
      </c>
      <c r="L1" s="6" t="inlineStr">
        <is>
          <t>Evidence Count</t>
        </is>
      </c>
      <c r="M1" s="6" t="inlineStr">
        <is>
          <t>Available Evidence Count</t>
        </is>
      </c>
      <c r="N1" s="6" t="inlineStr">
        <is>
          <t>Compliance Status</t>
        </is>
      </c>
      <c r="O1" s="6" t="inlineStr">
        <is>
          <t>Risk Severity (if non-compliant)</t>
        </is>
      </c>
      <c r="P1" s="6" t="inlineStr">
        <is>
          <t xml:space="preserve">Implementation Gap </t>
        </is>
      </c>
      <c r="Q1" s="6" t="inlineStr">
        <is>
          <t>Notes/Comments</t>
        </is>
      </c>
    </row>
    <row r="2" ht="259.5" customHeight="1">
      <c r="A2" s="9" t="inlineStr">
        <is>
          <t>CSF-AZ-PA-01</t>
        </is>
      </c>
      <c r="B2" s="13" t="inlineStr">
        <is>
          <t>Separate and limit highly privileged/administrative users</t>
        </is>
      </c>
      <c r="C2" s="14" t="inlineStr">
        <is>
          <t>Ensure you identify all high business impact accounts. Limit the number of privileged/administrative accounts in your cloud's control plane, management plane and data/workload plane.</t>
        </is>
      </c>
      <c r="D2" s="3" t="inlineStr">
        <is>
          <t>You must secure all roles with direct or indirect administrative access to Azure hosted resources.
Azure Active Directory (Azure AD) is Azure's default identity and access management service. The most critical built-in roles in Azure AD are Global Administrator and Privileged Role Administrator, because users assigned to these two roles can delegate administrator roles. With these privileges, users can directly or indirectly read and modify every resource in your Azure environment:
Global Administrator / Company Administrator: Users with this role have access to all administrative features in Azure AD as well as services that use Azure AD identities.
Privileged Role Administrator: Users with this role can manage role assignments in Azure AD, as well as within Azure AD Privileged Identity Management (PIM). In addition, this role allows management of all aspects of PIM and administrative units.
Outside of Azure AD, Azure has built-in roles that can be critical for privileged access at the resource level.
Owner: Grants full access to manage all resources, including the ability to assign roles in Azure RBAC.
Contributor: Grants full access to manage all resources, but does not allow you to assign roles in Azure RBAC, manage assignments in Azure Blueprints, or share image galleries.
User Access Administrator: Lets you manage user access to Azure resources.
Note: You may have other critical roles that need to be governed if you use custom roles in the Azure AD level or resource level with certain privileged permissions assigned.
In addition, users with the following three roles in Azure Enterprise Agreement (EA) portal should also be restricted as they can be used to directly or indirectly manage Azure subscriptions.
Account Owner: Users with this role can manage subscriptions, including the creation and deletion of subscriptions.
Enterprise Administrator: Users assigned with this role can manage (EA) portal users.
Department Administrator: Users assigned with this role can change account owners within the department.
Lastly, ensure that you also restrict privileged accounts in other management, identity, and security systems that have administrative access to your business-critical assets, such as Active Directory Domain Controllers (DCs), security tools, and system management tools with agents installed on business-critical systems. Attackers who compromise these management and security systems can immediately weaponize them to compromise business critical assets.</t>
        </is>
      </c>
      <c r="E2" s="10" t="inlineStr">
        <is>
          <t>PA-1</t>
        </is>
      </c>
      <c r="F2" s="4" t="inlineStr">
        <is>
          <t>5.4, 6.8</t>
        </is>
      </c>
      <c r="G2" s="3" t="inlineStr">
        <is>
          <t>AC-2, AC-6</t>
        </is>
      </c>
      <c r="H2" s="12" t="inlineStr">
        <is>
          <t>7.1, 7.2, 8.1</t>
        </is>
      </c>
      <c r="I2" s="11" t="inlineStr">
        <is>
          <t>IAM-10, IAM-11, IAM-12</t>
        </is>
      </c>
      <c r="J2" s="68" t="inlineStr">
        <is>
          <t>1. Are Global Administrator and Privileged Role Administrator accounts restricted and minimized?
2. Are resource-level privileged roles (Owner, User Access Administrator) tightly controlled?
3. Are EA portal roles (Account Owner, Enterprise Administrator, Department Administrator) limited to authorized personnel?
4. Are custom roles reviewed for privileged permissions?</t>
        </is>
      </c>
      <c r="K2" s="69" t="inlineStr">
        <is>
          <t>1. Export of all Azure AD role assignments (az role assignment list --all).
2. List of Global Administrators and Privileged Role Administrators (Get-AzureADDirectoryRole).
3. Access review report for EA portal roles.
4. RBAC role assignment JSON for custom roles.</t>
        </is>
      </c>
      <c r="L2" s="9" t="n">
        <v>4</v>
      </c>
      <c r="M2" s="9" t="n"/>
      <c r="N2" s="9" t="n"/>
      <c r="O2" s="1" t="n"/>
      <c r="P2" s="1" t="n"/>
      <c r="Q2" s="1" t="n"/>
    </row>
    <row r="3" ht="294" customHeight="1">
      <c r="A3" s="9" t="inlineStr">
        <is>
          <t>CSF-AZ-PA-02</t>
        </is>
      </c>
      <c r="B3" s="16" t="inlineStr">
        <is>
          <t>Avoid standing access for user accounts and permissions</t>
        </is>
      </c>
      <c r="C3" s="8" t="inlineStr">
        <is>
          <t>Instead of creating standing privileges, use just-in-time (JIT) mechanism to assign privileged access to the different resource tiers.</t>
        </is>
      </c>
      <c r="D3" s="3" t="inlineStr">
        <is>
          <t>Enable just-in-time (JIT) privileged access to Azure resources and Azure AD using Azure AD Privileged Identity Management (PIM). JIT is a model in which users receive temporary permissions to perform privileged tasks, which prevents malicious or unauthorized users from gaining access after the permissions have expired. Access is granted only when users need it. PIM can also generate security alerts when there is suspicious or unsafe activity in your Azure AD organization.</t>
        </is>
      </c>
      <c r="E3" s="10" t="inlineStr">
        <is>
          <t>PA-2</t>
        </is>
      </c>
      <c r="F3" s="4" t="inlineStr">
        <is>
          <t>N/A</t>
        </is>
      </c>
      <c r="G3" s="3" t="inlineStr">
        <is>
          <t>AC-2</t>
        </is>
      </c>
      <c r="H3" s="12" t="inlineStr">
        <is>
          <t>N/A</t>
        </is>
      </c>
      <c r="I3" s="11" t="inlineStr">
        <is>
          <t>IAM-13, IAM-14</t>
        </is>
      </c>
      <c r="J3" s="68" t="inlineStr">
        <is>
          <t>1. Is Just-In-Time (JIT) access configured via Azure AD Privileged Identity Management (PIM)?
2. Are privileged role activations requiring approval and MFA?
3. Is JIT VM access enabled for administrative ports (RDP/SSH) via Microsoft Defender for Cloud?</t>
        </is>
      </c>
      <c r="K3" s="69" t="inlineStr">
        <is>
          <t>1. PIM configuration export (Get-AzureADMSPrivilegedRoleSetting).
2. Role activation logs from PIM.
3. Defender for Cloud JIT VM access configuration export._x000D_</t>
        </is>
      </c>
      <c r="L3" s="9" t="n">
        <v>3</v>
      </c>
      <c r="M3" s="9" t="n"/>
      <c r="N3" s="9" t="n"/>
      <c r="O3" s="1" t="n"/>
      <c r="P3" s="1" t="n"/>
      <c r="Q3" s="1" t="n"/>
    </row>
    <row r="4" ht="294" customHeight="1">
      <c r="A4" s="15" t="inlineStr">
        <is>
          <t>CSF-AZ-PA-03</t>
        </is>
      </c>
      <c r="B4" s="3" t="inlineStr">
        <is>
          <t>Manage lifecycle of identities and entitlements</t>
        </is>
      </c>
      <c r="C4" s="13" t="inlineStr">
        <is>
          <t>Use an automated process or technical control to manage the identity and access lifecycle including the request, review, approval, provision, and deprovision.</t>
        </is>
      </c>
      <c r="D4" s="3" t="inlineStr">
        <is>
          <t>Use Azure AD entitlement management features to automate access request workflows (for Azure resource groups). This enables workflows for Azure resource groups to manage access assignments, reviews, expiration, and dual or multi-stage approval.</t>
        </is>
      </c>
      <c r="E4" s="10" t="inlineStr">
        <is>
          <t>PA-3</t>
        </is>
      </c>
      <c r="F4" s="4" t="inlineStr">
        <is>
          <t>6.1, 6.2</t>
        </is>
      </c>
      <c r="G4" s="3" t="inlineStr">
        <is>
          <t>AC-5, AC-6</t>
        </is>
      </c>
      <c r="H4" s="12" t="inlineStr">
        <is>
          <t>7.1, 7.2, 8.1</t>
        </is>
      </c>
      <c r="I4" s="11" t="inlineStr">
        <is>
          <t>IVS-04, IVS-09</t>
        </is>
      </c>
      <c r="J4" s="68" t="inlineStr">
        <is>
          <t>1. Are access request workflows configured with Azure AD Entitlement Management?
2. Are expiration and approval workflows enforced for resource group and application access?
3. Are unused or excessive entitlements detected and remediated with Permissions Management?</t>
        </is>
      </c>
      <c r="K4" s="69" t="inlineStr">
        <is>
          <t>1. Entitlement Management access package configuration (Azure Portal → Identity Governance).
2. Access review reports (Get-AzureADMSAccessReview).
3. Permissions Management report on unused entitlementsm</t>
        </is>
      </c>
      <c r="L4" s="9" t="n">
        <v>3</v>
      </c>
      <c r="M4" s="9" t="n"/>
      <c r="N4" s="9" t="n"/>
      <c r="O4" s="1" t="n"/>
      <c r="P4" s="1" t="n"/>
      <c r="Q4" s="1" t="n"/>
    </row>
    <row r="5" ht="119.25" customHeight="1">
      <c r="A5" s="9" t="inlineStr">
        <is>
          <t>CSF-AZ-PA-04</t>
        </is>
      </c>
      <c r="B5" s="17" t="inlineStr">
        <is>
          <t>Review and reconcile user access regularly</t>
        </is>
      </c>
      <c r="C5" s="8" t="inlineStr">
        <is>
          <t xml:space="preserve"> Conduct regular review of privileged account entitlements. Ensure the access granted to the accounts are valid for administration of control plane, management plane, and workloads.</t>
        </is>
      </c>
      <c r="D5" s="3" t="inlineStr">
        <is>
          <t>Review all privileged accounts and the access entitlements in Azure including Azure tenants, Azure services, VM/IaaS, CI/CD processes, and enterprise management and security tools.
Use Azure AD access reviews to review Azure AD roles, Azure resource access roles, group memberships, and access to enterprise applications. Azure AD reporting can also provide logs to help discover stale accounts, or accounts which have not been used for certain amount of time.
In addition, Azure AD Privileged Identity Management can be configured to alert when an excessive number of administrator accounts are created for a specific role, and to identify administrator accounts that are stale or improperly configured.</t>
        </is>
      </c>
      <c r="E5" s="10" t="inlineStr">
        <is>
          <t>PA-4</t>
        </is>
      </c>
      <c r="F5" s="4" t="inlineStr">
        <is>
          <t>5.1, 5.3, 5.5</t>
        </is>
      </c>
      <c r="G5" s="3" t="inlineStr">
        <is>
          <t>AC-2, AC-6</t>
        </is>
      </c>
      <c r="H5" s="12" t="inlineStr">
        <is>
          <t>7.1, 7.2, 8.1, A3.4</t>
        </is>
      </c>
      <c r="I5" s="11" t="inlineStr">
        <is>
          <t>LOG-01, LOG-03, LOG-07</t>
        </is>
      </c>
      <c r="J5" s="68" t="inlineStr">
        <is>
          <t>1. Are periodic access reviews performed for Azure AD roles, resource access, and application
entitlements?
2. Are stale or inactive accounts flagged and removed?
3. Are alerts configured for sudden increases in privileged accounts?</t>
        </is>
      </c>
      <c r="K5" s="69" t="inlineStr">
        <is>
          <t>1. Azure AD Access Review reports.
2. Audit logs of account removal actions.
3. PIM configuration for admin count threshold alerts</t>
        </is>
      </c>
      <c r="L5" s="9" t="n">
        <v>3</v>
      </c>
      <c r="M5" s="9" t="n"/>
      <c r="N5" s="9" t="n"/>
      <c r="O5" s="1" t="n"/>
      <c r="P5" s="1" t="n"/>
      <c r="Q5" s="1" t="n"/>
    </row>
    <row r="6" ht="219.75" customHeight="1">
      <c r="A6" s="9" t="inlineStr">
        <is>
          <t>CSF-AZ-PA-05</t>
        </is>
      </c>
      <c r="B6" s="13" t="inlineStr">
        <is>
          <t>Set up emergency access</t>
        </is>
      </c>
      <c r="C6" s="8" t="inlineStr">
        <is>
          <t>Set up emergency access to ensure that you are not accidentally locked out of your critical cloud infrastructure (such as your identity and access management system) in an emergency.
Emergency access accounts should be rarely used and can be highly damaging to the organization if compromised, but their availability to the organization is also critically important for the few scenarios when they are required.</t>
        </is>
      </c>
      <c r="D6" s="3" t="inlineStr">
        <is>
          <t xml:space="preserve"> To prevent being accidentally locked out of your Azure AD organization, set up an emergency access account (e.g., an account with Global Administrator role) for access when normal administrative accounts cannot be used. Emergency access accounts are usually highly privileged, and they should not be assigned to specific individuals. Emergency access accounts are limited to emergency or "break glass" scenarios where normal administrative accounts can't be used.
You should ensure that the credentials (such as password, certificate, or smart card) for emergency access accounts are kept secure and known only to individuals who are authorized to use them only in an emergency. You may also use additional controls, such dual controls (e.g., splitting the credential into two pieces and giving it to separate persons) to enhance the security of this process. You should also monitor the sign-in and audit logs to ensure that emergency access accounts are only used when authorized.</t>
        </is>
      </c>
      <c r="E6" s="10" t="inlineStr">
        <is>
          <t>PA-5</t>
        </is>
      </c>
      <c r="F6" s="4" t="inlineStr">
        <is>
          <t>N/A</t>
        </is>
      </c>
      <c r="G6" s="3" t="inlineStr">
        <is>
          <t>AC-2</t>
        </is>
      </c>
      <c r="H6" s="12" t="inlineStr">
        <is>
          <t>N/A</t>
        </is>
      </c>
      <c r="I6" s="11" t="inlineStr">
        <is>
          <t>IAM-05, IAM-06, CCC-03</t>
        </is>
      </c>
      <c r="J6" s="68" t="inlineStr">
        <is>
          <t>1. Are at least two emergency access (break-glass) accounts created with Global Administrator role?
2. Are credentials stored securely (HSM, offline vault, split control)?
3. Are emergency account sign-ins monitored and alerted?
4. Are MFA exclusions documented only for break-glass accounts?</t>
        </is>
      </c>
      <c r="K6" s="69" t="inlineStr">
        <is>
          <t>1. List of emergency accounts and their assigned roles.
2. Credential storage method documentation (Key Vault, password vault).
3. Azure AD sign-in logs filtered for emergency accounts.
4. Alert configuration for break-glass usage</t>
        </is>
      </c>
      <c r="L6" s="9" t="n">
        <v>4</v>
      </c>
      <c r="M6" s="9" t="n"/>
      <c r="N6" s="9" t="n"/>
      <c r="O6" s="1" t="n"/>
      <c r="P6" s="1" t="n"/>
      <c r="Q6" s="1" t="n"/>
    </row>
    <row r="7" ht="163.5" customHeight="1">
      <c r="A7" s="9" t="inlineStr">
        <is>
          <t>CSF-AZ-PA-06</t>
        </is>
      </c>
      <c r="B7" s="13" t="inlineStr">
        <is>
          <t>Use privileged access workstations</t>
        </is>
      </c>
      <c r="C7" s="8" t="inlineStr">
        <is>
          <t>Secured, isolated workstations are critically important for the security of sensitive roles like administrator, developer, and critical service operator.</t>
        </is>
      </c>
      <c r="D7" s="3" t="inlineStr">
        <is>
          <t>Use Azure Active Directory, Microsoft Defender, and/or Microsoft Intune to deploy privileged access workstations (PAW) on-premises or in Azure for privileged tasks. The PAW should be centrally managed to enforce secured configuration, including strong authentication, software and hardware baselines, and restricted logical and network access.
You may also use Azure Bastion which is a fully platform-managed PaaS service that can be provisioned inside your virtual network. Azure Bastion allows RDP/SSH connectivity to your virtual machines directly from the Azure portal using a web browser.</t>
        </is>
      </c>
      <c r="E7" s="10" t="inlineStr">
        <is>
          <t>PA-6</t>
        </is>
      </c>
      <c r="F7" s="4" t="inlineStr">
        <is>
          <t>12.8, 13.5</t>
        </is>
      </c>
      <c r="G7" s="3" t="inlineStr">
        <is>
          <t>AC-2, SC-2, SC-7</t>
        </is>
      </c>
      <c r="H7" s="12" t="inlineStr">
        <is>
          <t>N/A</t>
        </is>
      </c>
      <c r="I7" s="11" t="inlineStr">
        <is>
          <t>IAM-17, SEF-03</t>
        </is>
      </c>
      <c r="J7" s="68" t="inlineStr">
        <is>
          <t>1. Are privileged access workstations (PAW) deployed and managed via Intune or GPO?
2. Are PAWs restricted with conditional access policies (device compliance required)?
3. Is Azure Bastion used for secure VM administration instead of direct RDP/SSH exposure?</t>
        </is>
      </c>
      <c r="K7" s="69" t="inlineStr">
        <is>
          <t>1. Intune device compliance policy reports for PAWs.
2. Conditional Access policies requiring compliant devices.
3. Bastion deployment configuration.</t>
        </is>
      </c>
      <c r="L7" s="9" t="n">
        <v>3</v>
      </c>
      <c r="M7" s="9" t="n"/>
      <c r="N7" s="9" t="n"/>
      <c r="O7" s="1" t="n"/>
      <c r="P7" s="1" t="n"/>
      <c r="Q7" s="1" t="n"/>
    </row>
    <row r="8" ht="220.5" customHeight="1">
      <c r="A8" s="9" t="inlineStr">
        <is>
          <t>CSF-AZ-PA-07</t>
        </is>
      </c>
      <c r="B8" s="13" t="inlineStr">
        <is>
          <t xml:space="preserve">Follow just enough administration (least privilege) principle
</t>
        </is>
      </c>
      <c r="C8" s="8" t="inlineStr">
        <is>
          <t>Follow the just enough administration (least privilege) principle to manage permissions at fine-grained level. Use features such as role-based access control (RBAC) to manage resource access through role assignments.</t>
        </is>
      </c>
      <c r="D8" s="3" t="inlineStr">
        <is>
          <t>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Azure AD Privileged Identity Management (PIM), and those privileges should be reviewed periodically. If required, you can also use PIM to define a time-bound assignment, which is a condition in a role assignment where a user can only activate the role within the specified start and end dates.</t>
        </is>
      </c>
      <c r="E8" s="10" t="inlineStr">
        <is>
          <t>PA-7</t>
        </is>
      </c>
      <c r="F8" s="4" t="inlineStr">
        <is>
          <t>3.3, 6.8</t>
        </is>
      </c>
      <c r="G8" s="3" t="inlineStr">
        <is>
          <t>AC-2, AC-3, AC-6</t>
        </is>
      </c>
      <c r="H8" s="12" t="inlineStr">
        <is>
          <t>7.1, 7.2</t>
        </is>
      </c>
      <c r="I8" s="11" t="inlineStr">
        <is>
          <t>IAM-15, IAM-16</t>
        </is>
      </c>
      <c r="J8" s="68" t="inlineStr">
        <is>
          <t>1. Are privileged operations (role assignments, admin consent to apps, directory configuration changes) logged?
2. Are alerts generated for high-risk operations (e.g., new Global Admin creation)?
3. Are logs integrated with SIEM (Microsoft Sentinel)?</t>
        </is>
      </c>
      <c r="K8" s="69" t="inlineStr">
        <is>
          <t>1. Azure AD Audit logs export for privileged actions.
2. Sentinel analytics rule definitions for privileged operations.
3. Alert history showing privileged changes._x000D_</t>
        </is>
      </c>
      <c r="L8" s="9" t="n">
        <v>3</v>
      </c>
      <c r="M8" s="9" t="n"/>
      <c r="N8" s="9" t="n"/>
      <c r="O8" s="1" t="n"/>
      <c r="P8" s="1" t="n"/>
      <c r="Q8" s="1" t="n"/>
    </row>
    <row r="9" ht="161.25" customHeight="1">
      <c r="A9" s="9" t="inlineStr">
        <is>
          <t>CSF-AZ-PA-08</t>
        </is>
      </c>
      <c r="B9" s="13" t="inlineStr">
        <is>
          <t>Determine access process for cloud provider support</t>
        </is>
      </c>
      <c r="C9" s="8" t="inlineStr">
        <is>
          <t>Establish an approval process and access path for requesting and approving vendor support requests and temporary access to your data through a secure channel.</t>
        </is>
      </c>
      <c r="D9" s="3" t="inlineStr">
        <is>
          <t>In support scenarios where Microsoft needs to access your data, use Customer Lockbox to review and either approve or reject each data access request made by Microsoft.</t>
        </is>
      </c>
      <c r="E9" s="10" t="inlineStr">
        <is>
          <t>PA-8</t>
        </is>
      </c>
      <c r="F9" s="4" t="inlineStr">
        <is>
          <t>6.1, 6.2</t>
        </is>
      </c>
      <c r="G9" s="3" t="inlineStr">
        <is>
          <t>AC-4, AC-2, AC-3</t>
        </is>
      </c>
      <c r="H9" s="12" t="inlineStr">
        <is>
          <t>N/A</t>
        </is>
      </c>
      <c r="I9" s="11" t="inlineStr">
        <is>
          <t>IPY-04, SEF-02, SEF-03</t>
        </is>
      </c>
      <c r="J9" s="68" t="inlineStr">
        <is>
          <t>1. Is Customer Lockbox enabled for Microsoft support access requests?
2. Are access requests reviewed and approved before granting?
3. Are logs of provider access requests retained for compliance?_x000D_</t>
        </is>
      </c>
      <c r="K9" s="69" t="inlineStr">
        <is>
          <t>1. Customer Lockbox configuration status (Azure Portal → Security → Customer Lockbox).
2. Support request approval logs.
3. Audit log exports showing provider support access</t>
        </is>
      </c>
      <c r="L9" s="9" t="n">
        <v>3</v>
      </c>
      <c r="M9" s="9" t="n"/>
      <c r="N9" s="9" t="n"/>
      <c r="O9" s="1" t="n"/>
      <c r="P9" s="1" t="n"/>
      <c r="Q9" s="1" t="n"/>
    </row>
  </sheetData>
  <dataValidations count="1">
    <dataValidation sqref="N2:N9" showDropDown="0" showInputMessage="1" showErrorMessage="1" allowBlank="1" type="list">
      <formula1>"Complete,Partial,Non-Compliant"</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K1" sqref="K1:L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10"/>
    <col width="52.5703125" customWidth="1" style="74" min="11" max="11"/>
    <col width="38.28515625" customWidth="1" style="74" min="12" max="12"/>
    <col width="17.7109375" customWidth="1" min="13" max="13"/>
    <col width="25.28515625" customWidth="1" min="14" max="14"/>
    <col width="21" customWidth="1" min="15" max="15"/>
    <col width="27.5703125" customWidth="1" min="16" max="16"/>
    <col width="40.28515625" customWidth="1" min="17" max="17"/>
    <col width="49.5703125" customWidth="1" min="18" max="18"/>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 t="n"/>
      <c r="K1" s="67" t="inlineStr">
        <is>
          <t xml:space="preserve">Assessment Question </t>
        </is>
      </c>
      <c r="L1" s="67" t="inlineStr">
        <is>
          <t>Evidence to Collect</t>
        </is>
      </c>
      <c r="M1" s="6" t="inlineStr">
        <is>
          <t>Evidence Count</t>
        </is>
      </c>
      <c r="N1" s="6" t="inlineStr">
        <is>
          <t>Available Evidence Count</t>
        </is>
      </c>
      <c r="O1" s="6" t="inlineStr">
        <is>
          <t>Compliance Status</t>
        </is>
      </c>
      <c r="P1" s="6" t="inlineStr">
        <is>
          <t>Risk Severity (if non-compliant)</t>
        </is>
      </c>
      <c r="Q1" s="6" t="inlineStr">
        <is>
          <t xml:space="preserve">Implementation Gap </t>
        </is>
      </c>
      <c r="R1" s="6" t="inlineStr">
        <is>
          <t>Notes/Comments</t>
        </is>
      </c>
    </row>
    <row r="2" ht="259.5" customHeight="1">
      <c r="A2" s="9" t="inlineStr">
        <is>
          <t>CSF-AZ-DP-01</t>
        </is>
      </c>
      <c r="B2" s="13" t="inlineStr">
        <is>
          <t>Discover, classify, and label sensitive data</t>
        </is>
      </c>
      <c r="C2" s="14" t="inlineStr">
        <is>
          <t xml:space="preserve"> Establish and maintain an inventory of the sensitive data, based on the defined sensitive data scope. Use tools to discover, classify and label the in- scope sensitive data.</t>
        </is>
      </c>
      <c r="D2" s="3" t="inlineStr">
        <is>
          <t>Use tools such as Microsoft Purview, which combines the former Azure Purview and Microsoft 365 compliance solutions, and Azure SQL Data Discovery and Classification to centrally scan, classify, and label the sensitive data that reside in the Azure, on-premises, Microsoft 365, and other locations.</t>
        </is>
      </c>
      <c r="E2" s="10" t="inlineStr">
        <is>
          <t>DP-1</t>
        </is>
      </c>
      <c r="F2" s="4" t="inlineStr">
        <is>
          <t>3.2, 3.7, 3.13</t>
        </is>
      </c>
      <c r="G2" s="3" t="inlineStr">
        <is>
          <t>RA-2, SC-28</t>
        </is>
      </c>
      <c r="H2" s="12" t="inlineStr">
        <is>
          <t>A3.2</t>
        </is>
      </c>
      <c r="I2" s="11" t="inlineStr">
        <is>
          <t>DSP-01, DSP-02, DSP-03</t>
        </is>
      </c>
      <c r="J2" s="27" t="n"/>
      <c r="K2" s="68" t="inlineStr">
        <is>
          <t>1. How is sensitive data discovered across structured (SQL, Cosmos DB) and unstructured (Storage, SharePoint, Exchange) repositories?
2. What tools (Microsoft Purview, AIP) are in use for automated scanning and classification?
3. Are classification labels enforced and synchronized across hybrid/M365 workloads?
4. How is coverage validated for new data sources (e.g., onboarding of new Azure SQL
servers)?</t>
        </is>
      </c>
      <c r="L2" s="69" t="inlineStr">
        <is>
          <t>1. Microsoft Purview scan/job logs with discovered data assets.
2. Export of SQL sys. sensitivity_classifications.
3. Sensitivity labels configuration in AIP/Purview.
4. Sample classified records/screenshots of label enforcement in Office/SharePoint.</t>
        </is>
      </c>
      <c r="M2" s="9" t="n">
        <v>4</v>
      </c>
      <c r="N2" s="9" t="n"/>
      <c r="O2" s="9" t="n"/>
      <c r="P2" s="1" t="n"/>
      <c r="Q2" s="1" t="n"/>
      <c r="R2" s="1" t="n"/>
    </row>
    <row r="3" ht="294" customHeight="1">
      <c r="A3" s="9" t="inlineStr">
        <is>
          <t>CSF-AZ-DP-02</t>
        </is>
      </c>
      <c r="B3" s="16" t="inlineStr">
        <is>
          <t>Monitor anomalies and threats targeting sensitive data</t>
        </is>
      </c>
      <c r="C3" s="8" t="inlineStr">
        <is>
          <t>Monitor for anomalies around sensitive data, such as unauthorized transfer of data to locations outside of enterprise visibility and control. This typically involves monitoring for anomalous activities (large or unusual transfers) that could indicate unauthorized data exfiltration.</t>
        </is>
      </c>
      <c r="D3" s="3" t="inlineStr">
        <is>
          <t>Use Azure Information protection (AIP) to monitor the data that has been classified and labeled.
Use Microsoft Defender for Storage, Microsoft Defender for SQL, Microsoft Defender for open-source relational databases, and Microsoft Defender for Cosmos DB to alert on anomalous transfer of information that might indicate unauthorized transfers of sensitive data information.
Note: If required for compliance of data loss prevention (DLP), you can use a host-based DLP solution from Azure Marketplace or a Microsoft 365 DLP solution to enforce detective and/or preventative controls to prevent data exfiltration.</t>
        </is>
      </c>
      <c r="E3" s="10" t="inlineStr">
        <is>
          <t>DP-2</t>
        </is>
      </c>
      <c r="F3" s="4" t="n">
        <v>3.13</v>
      </c>
      <c r="G3" s="3" t="inlineStr">
        <is>
          <t>AC-4, SI-4</t>
        </is>
      </c>
      <c r="H3" s="12" t="inlineStr">
        <is>
          <t>A3.2</t>
        </is>
      </c>
      <c r="I3" s="11" t="inlineStr">
        <is>
          <t>DSP-04, DSP-05, EKM-01</t>
        </is>
      </c>
      <c r="J3" s="27" t="n"/>
      <c r="K3" s="68" t="inlineStr">
        <is>
          <t>1. Which monitoring services (Defender for Storage, Defender for SQL, Sentinel analytics) are enabled?
2. How is anomalous exfiltration (large/unusual transfers, cross-region copy) detected?
3. Are DLP policies deployed for both cloud (M365 DLP, Azure DLP connectors) and endpoint paths?
4. How are false positives tuned in alert rules?</t>
        </is>
      </c>
      <c r="L3" s="69" t="inlineStr">
        <is>
          <t>1.	Alerts from Microsoft Defender for SQL, Storage, CosmosDB.
2.	Sentinel queries/rules for anomalous transfer activity.
3.	DLP incident reports from Microsoft Purview Information Protection.
4.	Log Analytics export of activity anomalies (copy, delete, large volume).</t>
        </is>
      </c>
      <c r="M3" s="9" t="n">
        <v>4</v>
      </c>
      <c r="N3" s="9" t="n"/>
      <c r="O3" s="9" t="n"/>
      <c r="P3" s="1" t="n"/>
      <c r="Q3" s="1" t="n"/>
      <c r="R3" s="1" t="n"/>
    </row>
    <row r="4" ht="294" customHeight="1">
      <c r="A4" s="9" t="inlineStr">
        <is>
          <t>CSF-AZ-DP-03</t>
        </is>
      </c>
      <c r="B4" s="3" t="inlineStr">
        <is>
          <t>Encrypt sensitive data in transit</t>
        </is>
      </c>
      <c r="C4" s="13" t="inlineStr">
        <is>
          <t xml:space="preserve">Protect the data in transit against 'out of band' attacks (such as traffic capture) using encryption to ensure that attackers cannot easily read or modify the data.
Set the network boundary and service scope where data in transit encryption is mandatory inside and outside of the network. While this is optional for traffic on private networks, this is critical for traffic on external and public networks.
</t>
        </is>
      </c>
      <c r="D4" s="3" t="inlineStr">
        <is>
          <t>Enforce secure transfer in services such as Azure Storage, where a native data in transit encryption feature is built in.
Enforce HTTPS for web application workloads and services by ensuring that any clients connecting to your Azure resources use transport layer security (TLS) v1.2 or later. For remote management of VMs, use SSH (for Linux) or RDP/TLS (for Windows) instead of an unencrypted protocol.
For remote management of Azure virtual machines, use SSH (for Linux) or RDP/TLS (for Windows) instead of an unencrypted protocol. For secure file transfer, use the SFTP/FTPS service in Azure Storage Blob, App Service apps, and Function apps, instead of using the regular FTP service.
Note: Data in transit encryption is enabled for all Azure traffic traveling between Azure datacenters. TLS v1.2 or later is enabled on most Azure services by default. And some services such as Azure Storage and Application Gateway can enforce TLS v1.2 or later on the server side.</t>
        </is>
      </c>
      <c r="E4" s="10" t="inlineStr">
        <is>
          <t>DP-3</t>
        </is>
      </c>
      <c r="F4" s="4" t="n">
        <v>3.1</v>
      </c>
      <c r="G4" s="3" t="inlineStr">
        <is>
          <t>SC-8</t>
        </is>
      </c>
      <c r="H4" s="12" t="inlineStr">
        <is>
          <t>3.5, 3.6, 4.1</t>
        </is>
      </c>
      <c r="I4" s="11" t="inlineStr">
        <is>
          <t>EKM-02, IPY-03, IVS-07</t>
        </is>
      </c>
      <c r="J4" s="27" t="n"/>
      <c r="K4" s="68" t="inlineStr">
        <is>
          <t xml:space="preserve">1.	Are TLS 1.2+ enforced for all public endpoints (App Gateway, Storage, Key Vault)?
2.	Is "Secure transfer required" enabled on all Storage accounts?
3.	Are SSH/RDP over TLS configured for VM management?
4.	Are legacy or weak cipher suites blocked?
</t>
        </is>
      </c>
      <c r="L4" s="69" t="inlineStr">
        <is>
          <t>1. App Gateway / Front Door TLS configuration output.
2. VM access logs confirming RDP over TLS / SSH key-based authentication.
3. Wireshark/tcpdump validation of TLS handshakes.
4. Azure Policy compliance for "Secure transfer required."</t>
        </is>
      </c>
      <c r="M4" s="9" t="n">
        <v>4</v>
      </c>
      <c r="N4" s="9" t="n"/>
      <c r="O4" s="9" t="n"/>
      <c r="P4" s="1" t="n"/>
      <c r="Q4" s="1" t="n"/>
      <c r="R4" s="1" t="n"/>
    </row>
    <row r="5" ht="119.25" customHeight="1">
      <c r="A5" s="9" t="inlineStr">
        <is>
          <t>CSF-AZ-DP-04</t>
        </is>
      </c>
      <c r="B5" s="17" t="inlineStr">
        <is>
          <t>Enable data at rest encryption by default</t>
        </is>
      </c>
      <c r="C5" s="8" t="inlineStr">
        <is>
          <t xml:space="preserve">To complement access controls, data at rest should be protected against 'out of band' attacks (such as accessing underlying storage) using encryption. This helps ensure that attackers cannot easily read or modify the data.
</t>
        </is>
      </c>
      <c r="D5" s="3" t="inlineStr">
        <is>
          <t>Many Azure services have data at rest encryption enabled by default at the infrastructure layer using a service-managed key. These service-managed keys are generated on the customer’s behalf and automatically rotated every two years.
Where technically feasible and not enabled by default, you can enable data at rest encryption in the Azure services, or in your VMs at the storage level, file level, or database level.</t>
        </is>
      </c>
      <c r="E5" s="10" t="inlineStr">
        <is>
          <t>DP-4</t>
        </is>
      </c>
      <c r="F5" s="4" t="n">
        <v>3.11</v>
      </c>
      <c r="G5" s="3" t="inlineStr">
        <is>
          <t>SC-28</t>
        </is>
      </c>
      <c r="H5" s="12" t="inlineStr">
        <is>
          <t>3.4, 3.5</t>
        </is>
      </c>
      <c r="I5" s="11" t="inlineStr">
        <is>
          <t>EKM-03, IPY-03, IVS-07</t>
        </is>
      </c>
      <c r="J5" s="27" t="n"/>
      <c r="K5" s="68" t="inlineStr">
        <is>
          <t xml:space="preserve">1.	Is encryption enabled by default on Storage, SQL DB, Cosmos DB, and managed disks?
2.	Are custom images/disks checked for BitLocker/DM-crypt?
3.	How is double encryption applied in critical workloads?
4.	How often are service-managed keys rotated?
</t>
        </is>
      </c>
      <c r="L5" s="69" t="inlineStr">
        <is>
          <t xml:space="preserve">1.	Azure Storage account properties JSON ( encryption. services. * ).
2.	SQL Transparent Data Encryption status ( sys.dm_database_encryption_keys ).
3.	Disk encryption settings via az vm encryption show.
4.	Azure Policy compliance report for "encryption at rest."
</t>
        </is>
      </c>
      <c r="M5" s="9" t="n">
        <v>4</v>
      </c>
      <c r="N5" s="9" t="n"/>
      <c r="O5" s="9" t="n"/>
      <c r="P5" s="1" t="n"/>
      <c r="Q5" s="1" t="n"/>
      <c r="R5" s="1" t="n"/>
    </row>
    <row r="6" ht="156" customHeight="1">
      <c r="A6" s="9" t="inlineStr">
        <is>
          <t>CSF-AZ-DP-05</t>
        </is>
      </c>
      <c r="B6" s="13" t="inlineStr">
        <is>
          <t>Use customer-managed key option in data at rest encryption when required</t>
        </is>
      </c>
      <c r="C6" s="8" t="inlineStr">
        <is>
          <t xml:space="preserve"> If required for regulatory compliance, define the use case and service scope where customer-managed key option is needed. Enable and implement data at rest encryption using customer-managed keys in services.
</t>
        </is>
      </c>
      <c r="D6" s="3" t="inlineStr">
        <is>
          <t>Azure also provides an encryption option using keys managed by yourself (customer-managed keys) for most services.
Azure Key Vault Standard, Premium, and Managed HSM are natively integrated with many Azure Services for customer-managed key use cases. You may use Azure Key Vault to generate your key or bring your own keys.
However, using the customer-managed key option requires additional operational effort to manage the key lifecycle. This may include encryption key generation, rotation, revoke, and access control, etc.</t>
        </is>
      </c>
      <c r="E6" s="10" t="inlineStr">
        <is>
          <t>DP-5</t>
        </is>
      </c>
      <c r="F6" s="4" t="n">
        <v>3.11</v>
      </c>
      <c r="G6" s="3" t="inlineStr">
        <is>
          <t>SC-12, SC-28</t>
        </is>
      </c>
      <c r="H6" s="12" t="inlineStr">
        <is>
          <t>3.4, 3.5, 3.6</t>
        </is>
      </c>
      <c r="I6" s="11" t="inlineStr">
        <is>
          <t>EKM-04, EKM-06, EKM-07</t>
        </is>
      </c>
      <c r="J6" s="27" t="n"/>
      <c r="K6" s="68" t="inlineStr">
        <is>
          <t xml:space="preserve">1.	Which services are using CMKs instead of Microsoft-managed keys?
2.	How are keys created, rotated, and retired in Key Vault/HSM?
3.	Is BYOK/HYOK used for regulatory workloads (finance, healthcare)?
4.	Are CMK policies (rotation, expiration) enforced by automation?
</t>
        </is>
      </c>
      <c r="L6" s="69" t="inlineStr">
        <is>
          <t>1.	Azure Key Vault key properties with rotation policy JSON.
2.	Audit logs for CMK usage (wrap/unwrap, encrypt/decrypt).
3.	Service configs (Storage/SQL) referencing CMK URIs.
4.	Proof of HSM-protected key use (Managed HSM configuration).</t>
        </is>
      </c>
      <c r="M6" s="9" t="n">
        <v>4</v>
      </c>
      <c r="N6" s="9" t="n"/>
      <c r="O6" s="9" t="n"/>
      <c r="P6" s="1" t="n"/>
      <c r="Q6" s="1" t="n"/>
      <c r="R6" s="1" t="n"/>
    </row>
    <row r="7" ht="409.5" customHeight="1">
      <c r="A7" s="9" t="inlineStr">
        <is>
          <t>CSF-AZ-DP-06</t>
        </is>
      </c>
      <c r="B7" s="13" t="inlineStr">
        <is>
          <t xml:space="preserve">Use a secure key management process
</t>
        </is>
      </c>
      <c r="C7" s="8" t="inlineStr">
        <is>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is>
      </c>
      <c r="D7" s="3" t="inlineStr">
        <is>
          <t>Use Azure Key Vault to create and control your encryption keys life cycle, including key generation, distribution, and storage. Rotate and revoke your keys in Azure Key Vault and your service based on the defined schedule and when there is a key retirement or compromise. Require a certain cryptographic type and minimum key size when generating keys.
When there is a need to use customer-managed key (CMK) in the workload services or applications, ensure you follow the best practices:
Use a key hierarchy to generate a separate data encryption key (DEK) with your key encryption key (KEK) in your key vault.
Ensure keys are registered with Azure Key Vault and implemented via key IDs in each service or application.
To maximize the key material lifetime and portability, bring your own key (BYOK) to the services (i.e., importing HSM-protected keys from your on-premises HSMs into Azure Key Vault). Follow the recommended guideline to perform the key generation and key transfer.
Note: Refer to the below for the FIPS 140-2 level for Azure Key Vault types and FIPS compliance/validation level.
Software-protected keys in vaults (Premium &amp; Standard SKUs): FIPS 140-2 Level 1
HSM-protected keys in vaults (Premium SKU): FIPS 140-2 Level 2
HSM-protected keys in Managed HSM: FIPS 140-2 Level 3
Azure Key Vault Premium uses a shared HSM infrastructure in the backend. Azure Key Vault Managed HSM uses dedicated, confidential service endpoints with a dedicated HSM for when you need a higher level of key security.</t>
        </is>
      </c>
      <c r="E7" s="10" t="inlineStr">
        <is>
          <t>DP-6</t>
        </is>
      </c>
      <c r="F7" s="4" t="inlineStr">
        <is>
          <t>N/A</t>
        </is>
      </c>
      <c r="G7" s="3" t="inlineStr">
        <is>
          <t>IA-5, SC-12, SC-28</t>
        </is>
      </c>
      <c r="H7" s="12" t="n">
        <v>3.6</v>
      </c>
      <c r="I7" s="11" t="inlineStr">
        <is>
          <t>EKM-08, EKM-09, EKM-10</t>
        </is>
      </c>
      <c r="J7" s="27" t="n"/>
      <c r="K7" s="68" t="inlineStr">
        <is>
          <t xml:space="preserve">1.	How are cryptographic keys generated (manual, API, HSM)?
2.	Are expired/unused keys deleted?
3.	Are access permissions for key operations reviewed regularly?
</t>
        </is>
      </c>
      <c r="L7" s="69" t="inlineStr">
        <is>
          <t>1.	Azure Key Vault audit logs ( OperationName = Createkey and Deletekey ) from Log Analytics.
2.	Managed HSM FIPS compliance export ( az keyvault show -- hsm-name &lt;hsm&gt; ).
3.	Proof of key versioning: az keyvault key list-versions -- vault-name &lt;vault&gt; -- name &lt;keyName&gt;.
4.	Azure AD PIM assignments or RBAC export showing who can perform wrapkey / unwrapKey.
5.	Policy assignment screenshot enforcing "Key Vault keys should have an expiration date."</t>
        </is>
      </c>
      <c r="M7" s="9" t="n">
        <v>5</v>
      </c>
      <c r="N7" s="9" t="n"/>
      <c r="O7" s="9" t="n"/>
      <c r="P7" s="1" t="n"/>
      <c r="Q7" s="1" t="n"/>
      <c r="R7" s="1" t="n"/>
    </row>
    <row r="8" ht="279" customHeight="1">
      <c r="A8" s="9" t="inlineStr">
        <is>
          <t>CSF-AZ-DP-07</t>
        </is>
      </c>
      <c r="B8" s="13" t="inlineStr">
        <is>
          <t>Use a secure certificate management process</t>
        </is>
      </c>
      <c r="C8" s="8" t="inlineStr">
        <is>
          <t>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t>
        </is>
      </c>
      <c r="D8" s="3" t="inlineStr">
        <is>
          <t>Use Azure Key Vault to create and control the certificate lifecycle, including the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Azure Key Vault and supported Azure services based on the defined schedule and when a certificate expires. If automatic rotation is not supported in the frontend application, use a manual rotation in Azure Key Vault.
Avoid using a self-signed certificate and wildcard certificate in your critical services due to the limited security assurance. Instead, you can create public signed certificates in Azure Key Vault. The following Certificate Authorities (CAs) are the partnered providers that are currently integrated with Azure Key Vault.
DigiCert: Azure Key Vault offers OV TLS/SSL certificates with DigiCert.
GlobalSign: Azure Key Vault offers OV TLS/SSL certificates with GlobalSign.
Note: Use only approved CA and ensure that known bad root/intermediate certificates issued by these CAs are disabled.</t>
        </is>
      </c>
      <c r="E8" s="10" t="inlineStr">
        <is>
          <t>DP-7</t>
        </is>
      </c>
      <c r="F8" s="4" t="inlineStr">
        <is>
          <t>N/A</t>
        </is>
      </c>
      <c r="G8" s="3" t="inlineStr">
        <is>
          <t>IA-5, SC-12, SC-17</t>
        </is>
      </c>
      <c r="H8" s="12" t="n">
        <v>3.6</v>
      </c>
      <c r="I8" s="11" t="inlineStr">
        <is>
          <t>EKM-11, EKM-12</t>
        </is>
      </c>
      <c r="J8" s="27" t="n"/>
      <c r="K8" s="68" t="inlineStr">
        <is>
          <t xml:space="preserve">1.	What process ensures only approved Certificate Authorities (CAs) are used?
2.	How are cert renewals automated?
3.	How is certificate expiry monitored and alerted?
</t>
        </is>
      </c>
      <c r="L8" s="69" t="inlineStr">
        <is>
          <t xml:space="preserve">1.	Key Vault certificate inventory ( az keyvault certificate list ).
2.	Azure Monitor alert rule JSON for Microsoft.KeyVault/certificates/nearExpiry.
3.	Sentinel query results showing certificate expiration alerts triggered in last 90 days.
4.	Documentation or config file showing integration with enterprise CA or DigiCert API.
</t>
        </is>
      </c>
      <c r="M8" s="9" t="n">
        <v>4</v>
      </c>
      <c r="N8" s="9" t="n"/>
      <c r="O8" s="9" t="n"/>
      <c r="P8" s="1" t="n"/>
      <c r="Q8" s="1" t="n"/>
      <c r="R8" s="1" t="n"/>
    </row>
    <row r="9" ht="409.5" customHeight="1">
      <c r="A9" s="9" t="inlineStr">
        <is>
          <t>CSF-AZ-DP-08</t>
        </is>
      </c>
      <c r="B9" s="13" t="inlineStr">
        <is>
          <t xml:space="preserve">Ensure security of key and certificate repository
</t>
        </is>
      </c>
      <c r="C9" s="8" t="inlineStr">
        <is>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is>
      </c>
      <c r="D9" s="3" t="inlineStr">
        <is>
          <t>Secure your cryptographic keys and certificates by hardening your Azure Key Vault service through the following controls:
Implement access control using RBAC policies in Azure Key Vault Managed HSM at the key level to ensure the least privilege and separation of duties principles are followed. For example, ensure separation of duties are in place for users who manage encryption keys so they do not have the ability to access encrypted data, and vice versa. For Azure Key Vault Standard and Premium, create unique vaults for different applications to ensure the least privilege and separation of duties principles are followed.
Turn on Azure Key Vault logging to ensure critical management plane and data plane activities are logged.
Secure the Azure Key Vault using Private Link and Azure Firewall to ensure minimal exposure of the service
Use managed identity to access keys stored in Azure Key Vault in your workload applications.
When purging data, ensure your keys are not deleted before the actual data, backups and archives are purged.
Backup your keys and certificates using Azure Key Vault. Enable soft delete and purge protection to avoid accidental deletion of keys.When keys need to be deleted, consider disabling keys instead of deleting them to avoid accidental deletion of keys and cryptographic erasure of data.
For bring your own key (BYOK) use cases, generate keys in an on-premises HSM and import them to maximize the lifetime and portability of the keys.
Never store keys in plaintext format outside of the Azure Key Vault. Keys in all key vault services are not exportable by default.
Use HSM-backed key types (RSA-HSM) in Azure Key Vault Premium and Azure Managed HSM for the hardware protection and the strongest FIPS levels.
Enable Microsoft Defender for Key Vault for Azure-native, advanced threat protection for Azure Key Vault, providing an additional layer of security intelligence.</t>
        </is>
      </c>
      <c r="E9" s="10" t="inlineStr">
        <is>
          <t>DP-8</t>
        </is>
      </c>
      <c r="F9" s="4" t="inlineStr">
        <is>
          <t>N/A</t>
        </is>
      </c>
      <c r="G9" s="3" t="inlineStr">
        <is>
          <t>IA-5, SC-12, SC-17</t>
        </is>
      </c>
      <c r="H9" s="12" t="n">
        <v>3.6</v>
      </c>
      <c r="I9" s="11" t="inlineStr">
        <is>
          <t>EKM-13, IVS-02, LOG-02</t>
        </is>
      </c>
      <c r="J9" s="27" t="n"/>
      <c r="K9" s="68" t="inlineStr">
        <is>
          <t xml:space="preserve">1.	Who has administrative access to Key Vault and Managed HSM?
2.	Are vaults protected by network ACLs and private endpoints?
3.	Are purge protection and soft delete enabled?
4.	Are all access events logged and forwarded to SIEM?
5.	Are alerting rules in place for abnormal access attempts?
</t>
        </is>
      </c>
      <c r="L9" s="69" t="inlineStr">
        <is>
          <t xml:space="preserve">1.	RBAC role assignment dump for Key Vault: az role assignment list -- scope &lt;vaultResourceID&gt;.
2.	Vault network restriction config ( az keyvault show -- name &lt;vault&gt; -- query properties.networkAcls ).
3.	Vault properties confirming soft delete/purge protection ( enablePurgeProtection: true ).
4.	Sentinel workbook screenshot showing ingestion of Key Vault diagnostic logs.
5.	Export of Azure Policy compliance: "Key Vault should have purge protection enabled."
</t>
        </is>
      </c>
      <c r="M9" s="9" t="n">
        <v>5</v>
      </c>
      <c r="N9" s="9" t="n"/>
      <c r="O9" s="9" t="n"/>
      <c r="P9" s="1" t="n"/>
      <c r="Q9" s="1" t="n"/>
      <c r="R9" s="1" t="n"/>
    </row>
    <row r="10" ht="174" customHeight="1">
      <c r="A10" s="9" t="inlineStr">
        <is>
          <t>CSF-AZ-DP-09</t>
        </is>
      </c>
      <c r="B10" s="8" t="inlineStr">
        <is>
          <t>Secrets management in use for applications</t>
        </is>
      </c>
      <c r="C10" s="14" t="inlineStr">
        <is>
          <t>Application secrets are stored in a secrets manager or vaulting solution.</t>
        </is>
      </c>
      <c r="D10" s="3" t="inlineStr">
        <is>
          <t>Azure Key Vault is in use</t>
        </is>
      </c>
      <c r="E10" s="8" t="n"/>
      <c r="F10" s="4" t="n"/>
      <c r="G10" s="3" t="n"/>
      <c r="H10" s="12" t="n"/>
      <c r="I10" s="11" t="n"/>
      <c r="J10" s="27" t="inlineStr">
        <is>
          <t>APP-03.4</t>
        </is>
      </c>
      <c r="K10" s="73" t="inlineStr">
        <is>
          <t>Is the organization currently following the Azure Guidance ?</t>
        </is>
      </c>
      <c r="L10" s="73" t="inlineStr">
        <is>
          <t>Confirmation of the Assessment question</t>
        </is>
      </c>
      <c r="M10" s="9" t="n">
        <v>1</v>
      </c>
      <c r="N10" s="9" t="n"/>
      <c r="O10" s="9" t="n"/>
      <c r="P10" s="1" t="n"/>
      <c r="Q10" s="1" t="n"/>
      <c r="R10" s="1" t="n"/>
    </row>
    <row r="11" ht="314.25" customHeight="1">
      <c r="A11" s="9" t="n"/>
      <c r="B11" s="13" t="n"/>
      <c r="C11" s="8" t="n"/>
      <c r="D11" s="3" t="n"/>
      <c r="E11" s="9" t="n"/>
      <c r="F11" s="4" t="n"/>
      <c r="G11" s="3" t="n"/>
      <c r="H11" s="12" t="n"/>
      <c r="I11" s="11" t="n"/>
      <c r="J11" s="27" t="n"/>
      <c r="K11" s="68" t="n"/>
      <c r="L11" s="69" t="n"/>
      <c r="M11" s="9" t="n"/>
      <c r="N11" s="9" t="n"/>
      <c r="O11" s="9" t="n"/>
      <c r="P11" s="1" t="n"/>
      <c r="Q11" s="1" t="n"/>
      <c r="R11" s="1" t="n"/>
    </row>
  </sheetData>
  <dataValidations count="1">
    <dataValidation sqref="O2:O11" showDropDown="0" showInputMessage="1" showErrorMessage="1" allowBlank="1" type="list">
      <formula1>"Complete,Partial,Non-Compliant"</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38.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7" t="inlineStr">
        <is>
          <t xml:space="preserve">Assessment Question </t>
        </is>
      </c>
      <c r="K1" s="67" t="inlineStr">
        <is>
          <t>Evidence to Collect</t>
        </is>
      </c>
      <c r="L1" s="6" t="inlineStr">
        <is>
          <t>Evidence Count</t>
        </is>
      </c>
      <c r="M1" s="6" t="inlineStr">
        <is>
          <t>Available Evidence Count</t>
        </is>
      </c>
      <c r="N1" s="6" t="inlineStr">
        <is>
          <t>Compliance Status</t>
        </is>
      </c>
      <c r="O1" s="6" t="inlineStr">
        <is>
          <t>Risk Severity (if non-compliant)</t>
        </is>
      </c>
      <c r="P1" s="6" t="inlineStr">
        <is>
          <t xml:space="preserve">Implementation Gap </t>
        </is>
      </c>
      <c r="Q1" s="6" t="inlineStr">
        <is>
          <t>Notes/Comments</t>
        </is>
      </c>
    </row>
    <row r="2" ht="259.5" customHeight="1">
      <c r="A2" s="9" t="inlineStr">
        <is>
          <t>CSF-AZ-AM-01</t>
        </is>
      </c>
      <c r="B2" s="13" t="inlineStr">
        <is>
          <t>Track asset inventory and their risks</t>
        </is>
      </c>
      <c r="C2" s="14" t="inlineStr">
        <is>
          <t>Track your asset inventory by query and discover all your cloud resources. Logically organize your assets by tagging and grouping your assets based on their service nature, location, or other characteristics. Ensure your security organization has access to a continuously updated inventory of assets.
Ensure your security organization can monitor the risks to cloud assets by always having security insights and risks aggregated centrally.</t>
        </is>
      </c>
      <c r="D2" s="3" t="inlineStr">
        <is>
          <t>The Microsoft Defender for Cloud inventory feature and Azure Resource Graph can query for and discover all resources in your subscriptions, including Azure services, applications, and network resources. Logically organize assets according to your organization's taxonomy using tags as well as other metadata in Azure (Name, Description, and Category).
Ensure that security organizations have access to a continuously updated inventory of assets on Azure. Security teams often need this inventory to evaluate their organization's potential exposure to emerging risks, and as an input for continuous security improvements.
Ensure security organizations are granted Security Reader permissions in your Azure tenant and subscriptions so they can monitor for security risks using Microsoft Defender for Cloud. Security Reader permissions can be applied broadly to an entire tenant (Root Management Group) or scoped to management groups or specific subscriptions.</t>
        </is>
      </c>
      <c r="E2" s="10" t="inlineStr">
        <is>
          <t>AM-1</t>
        </is>
      </c>
      <c r="F2" s="4" t="inlineStr">
        <is>
          <t>1.1, 1.5, 2.1, 2.4</t>
        </is>
      </c>
      <c r="G2" s="3" t="inlineStr">
        <is>
          <t>CM-8, PM-5</t>
        </is>
      </c>
      <c r="H2" s="12" t="n">
        <v>2.4</v>
      </c>
      <c r="I2" s="11" t="inlineStr">
        <is>
          <t>GRM-01, IPY-02, TVM-01</t>
        </is>
      </c>
      <c r="J2" s="68" t="inlineStr">
        <is>
          <t xml:space="preserve">1.	How are all Azure resources (VMs, storage, databases, networking) inventoried?
2.	Is the inventory enriched with tags/metadata for classification?
3.	How does the security team access this inventory?
4.	Is risk information (e.g., Defender for Cloud security score) linked to asset records?
</t>
        </is>
      </c>
      <c r="K2" s="69" t="inlineStr">
        <is>
          <t>1.	Azure Resource Graph query export: az graph query -q "Resources | summarize count() by type"
2.	Microsoft Defender for Cloud &gt; Inventory export (CSV of resources + security status).
3.	Tenant-level RBAC check: az role assignment list -- role "Security Reader" showing security team access.
4.	Tag compliance report from Azure Policy ("Resources should be tagged with environment/owner").
5.	Risk findings mapped to assets (screenshot of Defender for Cloud Security Posture per asset).</t>
        </is>
      </c>
      <c r="L2" s="9" t="n">
        <v>5</v>
      </c>
      <c r="M2" s="9" t="n"/>
      <c r="N2" s="9" t="n"/>
      <c r="O2" s="1" t="n"/>
      <c r="P2" s="1" t="n"/>
      <c r="Q2" s="1" t="n"/>
    </row>
    <row r="3" ht="294" customHeight="1">
      <c r="A3" s="9" t="inlineStr">
        <is>
          <t>CSF-AZ-AM-02</t>
        </is>
      </c>
      <c r="B3" s="16" t="inlineStr">
        <is>
          <t>Use only approved services</t>
        </is>
      </c>
      <c r="C3" s="8" t="inlineStr">
        <is>
          <t>Ensure that only approved cloud services can be used, by auditing and restricting which services users can provision in the environment.</t>
        </is>
      </c>
      <c r="D3" s="3" t="inlineStr">
        <is>
          <t>Use Azure Policy to audit and restrict which services users can provision in your environment. Use Azure Resource Graph to query for and discover resources within their subscriptions. You can also use Azure Monitor to create rules to trigger alerts when a non-approved service is detected.</t>
        </is>
      </c>
      <c r="E3" s="10" t="inlineStr">
        <is>
          <t>AM-2</t>
        </is>
      </c>
      <c r="F3" s="4" t="inlineStr">
        <is>
          <t>2.5, 2.6 , 2.7, 4.8</t>
        </is>
      </c>
      <c r="G3" s="3" t="inlineStr">
        <is>
          <t>CM-8, PM-5</t>
        </is>
      </c>
      <c r="H3" s="12" t="n">
        <v>6.3</v>
      </c>
      <c r="I3" s="11" t="inlineStr">
        <is>
          <t>AAc-02, GRM-02, TVM-02</t>
        </is>
      </c>
      <c r="J3" s="68" t="inlineStr">
        <is>
          <t xml:space="preserve">1.	How are unapproved Azure services restricted?
2.	Which Azure Policies deny or audit new resource types?
3.	How is non-compliance with approved services detected?
</t>
        </is>
      </c>
      <c r="K3" s="69" t="inlineStr">
        <is>
          <t xml:space="preserve">1.	Azure Policy definition export: az policy assignment list -- query "[?policyDefinitionId == '/providers/Microsoft.Authorj
2.	Resource Graph query results showing services in use: az graph query -q "Resources | summarize count() by type"
3.	Azure Monitor alert rule JSON for detecting non-approved resource types.
4.	Policy compliance report showing blocked/denied deployments (portal screenshot or CSV).
</t>
        </is>
      </c>
      <c r="L3" s="9" t="n">
        <v>4</v>
      </c>
      <c r="M3" s="9" t="n"/>
      <c r="N3" s="9" t="n"/>
      <c r="O3" s="1" t="n"/>
      <c r="P3" s="1" t="n"/>
      <c r="Q3" s="1" t="n"/>
    </row>
    <row r="4" ht="294" customHeight="1">
      <c r="A4" s="9" t="inlineStr">
        <is>
          <t>CSF-AZ-AM-03</t>
        </is>
      </c>
      <c r="B4" s="3" t="inlineStr">
        <is>
          <t xml:space="preserve">Ensure security of asset lifecycle management
</t>
        </is>
      </c>
      <c r="C4" s="13" t="inlineStr">
        <is>
          <t xml:space="preserve">Ensure security attributes or configurations of the assets are always updated during the asset lifecycle.
</t>
        </is>
      </c>
      <c r="D4" s="3" t="inlineStr">
        <is>
          <t>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Azure resources when they are no longer needed.</t>
        </is>
      </c>
      <c r="E4" s="10" t="inlineStr">
        <is>
          <t>AM-3</t>
        </is>
      </c>
      <c r="F4" s="4" t="inlineStr">
        <is>
          <t>1.1, 2.1</t>
        </is>
      </c>
      <c r="G4" s="3" t="inlineStr">
        <is>
          <t>CM-8, CM-7</t>
        </is>
      </c>
      <c r="H4" s="12" t="n">
        <v>2.4</v>
      </c>
      <c r="I4" s="11" t="inlineStr">
        <is>
          <t>CCC-02, TVM-03</t>
        </is>
      </c>
      <c r="J4" s="68" t="inlineStr">
        <is>
          <t xml:space="preserve">1.	How are decommissioned Azure resources (VMs, storage, databases) securely removed?
2.	Are changes to identity providers, network configuration, or privileged assignments logged
and reviewed?
3.	Is there automation to detect and clean up unused resources?
</t>
        </is>
      </c>
      <c r="K4" s="69" t="inlineStr">
        <is>
          <t>1.	Activity Log export showing Delete operations for resource groups/VMs: az monitor activity-log list -- resource-group &lt;rg&gt; -- status Succeeded -- query "[?operz
2.	Azure Policy assignment enforcing "Resources must have an expiration date tag."
3.	Microsoft Defender for Cloud recommendations report (unused or orphaned resources flagged).
4.	Example cleanup automation script in Azure Automation or Logic App (JSON runbook or execution logs).
5.	Privileged role audit from Azure AD PIM showing admin assignment lifecycle.</t>
        </is>
      </c>
      <c r="L4" s="9" t="n">
        <v>5</v>
      </c>
      <c r="M4" s="9" t="n"/>
      <c r="N4" s="9" t="n"/>
      <c r="O4" s="1" t="n"/>
      <c r="P4" s="1" t="n"/>
      <c r="Q4" s="1" t="n"/>
    </row>
    <row r="5" ht="234" customHeight="1">
      <c r="A5" s="9" t="inlineStr">
        <is>
          <t>CSF-AZ-AM-04</t>
        </is>
      </c>
      <c r="B5" s="17" t="inlineStr">
        <is>
          <t>Limit access to asset management</t>
        </is>
      </c>
      <c r="C5" s="8" t="inlineStr">
        <is>
          <t xml:space="preserve">Limit users' access to asset management features, to avoid accidental or malicious modification of the assets in your cloud.
</t>
        </is>
      </c>
      <c r="D5" s="3" t="inlineStr">
        <is>
          <t>Azure Resource Manager is the deployment and management service for Azure. It provides a management layer that enables you to create, update, and delete resources (assets) in Azure. Use Azure AD Conditional Access to limit users' ability to interact with Azure Resource Manager by configuring "Block access" for the "Microsoft Azure Management" App.
Use Azure Role-based Access Control (Azure RBAC) to assign roles to identities to control their permissions and access to Azure resources. For example, a user with only the 'Reader' Azure RBAC role can view all resources, but is not allowed to make any changes.
Use Resource Locks to prevent either deletions or modifications to resources. Resource Locks may also be administered through Azure Blueprints.</t>
        </is>
      </c>
      <c r="E5" s="10" t="inlineStr">
        <is>
          <t>AM-4</t>
        </is>
      </c>
      <c r="F5" s="4" t="n">
        <v>3.3</v>
      </c>
      <c r="G5" s="3" t="inlineStr">
        <is>
          <t>AC-3</t>
        </is>
      </c>
      <c r="H5" s="12" t="inlineStr">
        <is>
          <t>N/A</t>
        </is>
      </c>
      <c r="I5" s="11" t="inlineStr">
        <is>
          <t>TVM-04, AAC-01, GRM-03</t>
        </is>
      </c>
      <c r="J5" s="68" t="inlineStr">
        <is>
          <t xml:space="preserve">1.	Who is permitted to manage Azure resources (create, modify, delete)?
2.	Are asset management permissions restricted to security/operations teams?
3.	Is least privilege enforced for Resource Graph, Defender for Cloud inventory, and tagging operations?
</t>
        </is>
      </c>
      <c r="K5" s="69" t="inlineStr">
        <is>
          <t>1.	RBAC export: az role assignment list -- scope /subscriptions/&lt;subID&gt; -- query "[?roleDefinitionName ==
2.	Check for assignments of security Reader and Resource Policy Contributor roles at tenant/root management group.
3.	Activity Log entries showing asset creation/deletion - filter by privileged roles.
4.	Azure AD PIM report showing eligible vs active assignments for asset management roles.</t>
        </is>
      </c>
      <c r="L5" s="9" t="n">
        <v>4</v>
      </c>
      <c r="M5" s="9" t="n"/>
      <c r="N5" s="9" t="n"/>
      <c r="O5" s="1" t="n"/>
      <c r="P5" s="1" t="n"/>
      <c r="Q5" s="1" t="n"/>
    </row>
    <row r="6" ht="339" customHeight="1">
      <c r="A6" s="9" t="inlineStr">
        <is>
          <t>CSF-AZ-AM-05</t>
        </is>
      </c>
      <c r="B6" s="13" t="inlineStr">
        <is>
          <t>Use only approved applications in virtual machine</t>
        </is>
      </c>
      <c r="C6" s="8" t="inlineStr">
        <is>
          <t xml:space="preserve"> Ensure that only authorized software executes by creating an allow list and block the unauthorized software from executing in your environment.</t>
        </is>
      </c>
      <c r="D6" s="3" t="inlineStr">
        <is>
          <t>Use Microsoft Defender for Cloud adaptive application controls to discover and generate an application allow list. You can also use ASC adaptive application controls to ensure that only authorized software can executes, and all unauthorized software is blocked from executing on Azure Virtual Machines.
Use Azure Automation Change Tracking and Inventory to automate the collection of inventory information from your Windows and Linux VMs. Software name, version, publisher, and refresh time information are available from the Azure portal. To get the software installation date and other information, enable guest-level diagnostics and direct the Windows Event Logs to a Log Analytics workspace.
Depending on the type of scripts, you can use operating system-specific configurations or third-party resources to limit users' ability to execute scripts in Azure compute resources.
You can also use a third-party solution to discover and identify unapproved software.</t>
        </is>
      </c>
      <c r="E6" s="10" t="inlineStr">
        <is>
          <t>AM-5</t>
        </is>
      </c>
      <c r="F6" s="4" t="inlineStr">
        <is>
          <t>2.5, 2.6, 2.7, 4.8</t>
        </is>
      </c>
      <c r="G6" s="3" t="inlineStr">
        <is>
          <t>CM-8, CM-7, CM-10, CM-11</t>
        </is>
      </c>
      <c r="H6" s="12" t="n">
        <v>6.3</v>
      </c>
      <c r="I6" s="11" t="inlineStr">
        <is>
          <t>TVM-05, GRM-05</t>
        </is>
      </c>
      <c r="J6" s="68" t="inlineStr">
        <is>
          <t xml:space="preserve">1.	Are application allowlists defined and enforced for Azure VMs?
2.	How are unauthorized binaries or scripts detected/blocked?
3.	Is inventory of installed applications collected and reviewed?
4.	Is script execution (PowerShell, Bash) restricted by policy?
</t>
        </is>
      </c>
      <c r="K6" s="69" t="inlineStr">
        <is>
          <t>1.	Microsoft Defender for Cloud Adaptive Application Controls policy export (JSON).
2.	Azure Automation Change Tracking and Inventory export (list of installed software on
Windows/Linux VMs).
3.	Log Analytics query results showing blocked execution attempts ( SecurityEvent with
"ApplicationBlocked").
4.	Policy compliance results: "Only approved software should run on machines."
5.	OS-level config (e.g., PowerShell execution policy Get-ExecutionPolicy ) on sample VMs.</t>
        </is>
      </c>
      <c r="L6" s="9" t="n">
        <v>5</v>
      </c>
      <c r="M6" s="9" t="n"/>
      <c r="N6" s="9" t="n"/>
      <c r="O6" s="1" t="n"/>
      <c r="P6" s="1" t="n"/>
      <c r="Q6" s="1" t="n"/>
    </row>
  </sheetData>
  <dataValidations count="1">
    <dataValidation sqref="N2:N6" showDropDown="0" showInputMessage="1" showErrorMessage="1" allowBlank="1" type="list">
      <formula1>"Complete,Partial,Non-Compliant"</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K1" sqref="K1:L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10"/>
    <col width="52.5703125" customWidth="1" style="74" min="11" max="11"/>
    <col width="38.28515625" customWidth="1" style="74" min="12" max="12"/>
    <col width="17.7109375" customWidth="1" min="13" max="13"/>
    <col width="25.28515625" customWidth="1" min="14" max="14"/>
    <col width="21" customWidth="1" min="15" max="15"/>
    <col width="27.5703125" customWidth="1" min="16" max="16"/>
    <col width="40.28515625" customWidth="1" min="17" max="17"/>
    <col width="49.5703125" customWidth="1" min="18" max="18"/>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 t="n"/>
      <c r="K1" s="67" t="inlineStr">
        <is>
          <t xml:space="preserve">Assessment Question </t>
        </is>
      </c>
      <c r="L1" s="67" t="inlineStr">
        <is>
          <t>Evidence to Collect</t>
        </is>
      </c>
      <c r="M1" s="6" t="inlineStr">
        <is>
          <t>Evidence Count</t>
        </is>
      </c>
      <c r="N1" s="6" t="inlineStr">
        <is>
          <t>Available Evidence Count</t>
        </is>
      </c>
      <c r="O1" s="6" t="inlineStr">
        <is>
          <t>Compliance Status</t>
        </is>
      </c>
      <c r="P1" s="6" t="inlineStr">
        <is>
          <t>Risk Severity (if non-compliant)</t>
        </is>
      </c>
      <c r="Q1" s="6" t="inlineStr">
        <is>
          <t xml:space="preserve">Implementation Gap </t>
        </is>
      </c>
      <c r="R1" s="6" t="inlineStr">
        <is>
          <t>Notes/Comments</t>
        </is>
      </c>
    </row>
    <row r="2" ht="259.5" customHeight="1">
      <c r="A2" s="9" t="inlineStr">
        <is>
          <t>CSF-AZ-LTD-01</t>
        </is>
      </c>
      <c r="B2" s="13" t="inlineStr">
        <is>
          <t>Enable threat detection capabilities</t>
        </is>
      </c>
      <c r="C2" s="14" t="inlineStr">
        <is>
          <t>To support threat detection scenarios, monitor all known resource types for known and expected threats and anomalies. Configure your alert filtering and analytics rules to extract high-quality alerts from log data, agents, or other data sources to reduce false positives.</t>
        </is>
      </c>
      <c r="D2" s="3" t="inlineStr">
        <is>
          <t>Use the threat detection capability of Microsoft Defender for Cloud for the respective Azure services.
For threat detection not included in Microsoft Defender services, refer to Microsoft Cloud Security Benchmark service baselines for the respective services to enable the threat detection or security alert capabilities within the service. Ingest alerts and log data from Microsoft Defender for Cloud, Microsoft 365 Defender, and log data from other resources into your Azure Monitor or Microsoft Sentinel instances to build analytics rules, which detect threats and create alerts that match specific criteria across your environment.
For Operational Technology (OT) environments that include computers that control or monitor Industrial Control System (ICS) or Supervisory Control and Data Acquisition (SCADA) resources, use Microsoft Defender for IoT to inventory assets and detect threats and vulnerabilities.
For services that do not have a native threat detection capability, consider collecting the data plane logs and analyze the threats through Microsoft Sentinel.</t>
        </is>
      </c>
      <c r="E2" s="10" t="inlineStr">
        <is>
          <t>LT-1</t>
        </is>
      </c>
      <c r="F2" s="4" t="n">
        <v>8.109999999999999</v>
      </c>
      <c r="G2" s="3" t="inlineStr">
        <is>
          <t>AU-3, AU-6, AU-12, SI-4</t>
        </is>
      </c>
      <c r="H2" s="12" t="inlineStr">
        <is>
          <t>10.6, 10.8, A3.5</t>
        </is>
      </c>
      <c r="I2" s="11" t="inlineStr">
        <is>
          <t>LOG-05, LOG-03, SEF-03</t>
        </is>
      </c>
      <c r="J2" s="27" t="n"/>
      <c r="K2" s="68" t="inlineStr">
        <is>
          <t xml:space="preserve">1.	Which Azure services have Defender threat detection enabled?
2.	Are workloads integrated with Sentinel?
</t>
        </is>
      </c>
      <c r="L2" s="69" t="inlineStr">
        <is>
          <t>1.	az security pricing list -- query "[?pricingTier == 'Standard']" - confirm which services
have Defender enabled.
2.	List of Defender alerts in last 90 days ( az security alert list -- query "[].
{Resource:resourceGroup, Alert:alertDisplayName}" ).
3.	Sentinel connector inventory ( az sentinel data-connector list ).
4.	Custom Sentinel rule JSON proving tuning.
5.	Screenshot of Defender for Cloud recommendations per service.
6.	Export of cost configuration for Defender (evidence that org pays for coverage).</t>
        </is>
      </c>
      <c r="M2" s="9" t="n">
        <v>6</v>
      </c>
      <c r="N2" s="9" t="n"/>
      <c r="O2" s="9" t="n"/>
      <c r="P2" s="1" t="n"/>
      <c r="Q2" s="1" t="n"/>
      <c r="R2" s="1" t="n"/>
    </row>
    <row r="3" ht="294" customHeight="1">
      <c r="A3" s="9" t="inlineStr">
        <is>
          <t>CSF-AZ-LTD-02</t>
        </is>
      </c>
      <c r="B3" s="16" t="inlineStr">
        <is>
          <t>Enable threat detection for identity and access management</t>
        </is>
      </c>
      <c r="C3" s="8" t="inlineStr">
        <is>
          <t>Detect threats for identities and access management by monitoring the user and application sign-in and access anomalies. Behavioral patterns such as excessive number of failed login attempts, and deprecated accounts in the subscription, should be alerted.</t>
        </is>
      </c>
      <c r="D3" s="3" t="inlineStr">
        <is>
          <t xml:space="preserve"> Azure AD provides the following logs that can be viewed in Azure AD reporting or integrated with Azure Monitor, Microsoft Sentinel or other SIEM/monitoring tools for more sophisticated monitoring and analytics use cases:
Sign-ins: The sign-ins report provides information about the usage of managed applications and user sign-in activities.
Audit logs: Provides traceability through logs for all changes done by various features within Azure AD. Examples of audit logs include changes made to any resources within Azure AD like adding or removing users, apps, groups, roles and policies.
Risky sign-ins: A risky sign-in is an indicator for a sign-in attempt that might have been performed by someone who is not the legitimate owner of a user account.
Users flagged for risk: A risky user is an indicator for a user account that might have been compromised.
Azure AD also provides an Identity Protection module to detect and remediate risks related to user accounts and sign-in behaviors. Examples of risks include leaked credentials, sign-in from anonymous or malware linked IP addresses, password spray. The policies in Azure AD Identity Protection allow you to enforce risk-based MFA authentication in conjunction with Azure Conditional Access on user accounts.
In addition, Microsoft Defender for Cloud can be configured to alert on deprecated accounts in the subscription and suspicious activities such as an excessive number of failed authentication attempts. In addition to the basic security hygiene monitoring, Microsoft Defender for Cloud's Threat Protection module can also collect more in-depth security alerts from individual Azure compute resources (such as virtual machines, containers, app service), data resources (such as SQL DB and storage), and Azure service layers. This capability allows you to see account anomalies inside the individual resources.</t>
        </is>
      </c>
      <c r="E3" s="10" t="inlineStr">
        <is>
          <t>LT-2</t>
        </is>
      </c>
      <c r="F3" s="4" t="n">
        <v>8.109999999999999</v>
      </c>
      <c r="G3" s="3" t="inlineStr">
        <is>
          <t>AU-3, AU-6, AU-12, SI-4</t>
        </is>
      </c>
      <c r="H3" s="12" t="inlineStr">
        <is>
          <t>10.6, 10.8, A3.5</t>
        </is>
      </c>
      <c r="I3" s="11" t="inlineStr">
        <is>
          <t>LOG-08, LOG-05, IAM-03</t>
        </is>
      </c>
      <c r="J3" s="27" t="n"/>
      <c r="K3" s="68" t="inlineStr">
        <is>
          <t xml:space="preserve">1.	Are Azure AD risky sign-ins and user risk policies enforced?
2.	Are failed sign-in attempts generating alerts?
3.	Is MFA enforced for risk-based access?
</t>
        </is>
      </c>
      <c r="L3" s="69" t="inlineStr">
        <is>
          <t>1.	Azure AD Identity Protection risky sign-in report export.
2.	Conditional Access policy JSON ( az ad conditional-access policy list ) showing "Require
MFA" for risky sign-in.
3.	Sentinel analytic rule for password spray detection (export rule JSON).</t>
        </is>
      </c>
      <c r="M3" s="9" t="n">
        <v>3</v>
      </c>
      <c r="N3" s="9" t="n"/>
      <c r="O3" s="9" t="n"/>
      <c r="P3" s="1" t="n"/>
      <c r="Q3" s="1" t="n"/>
      <c r="R3" s="1" t="n"/>
    </row>
    <row r="4" ht="294" customHeight="1">
      <c r="A4" s="9" t="inlineStr">
        <is>
          <t>CSF-AZ-LTD-03</t>
        </is>
      </c>
      <c r="B4" s="3" t="inlineStr">
        <is>
          <t>Enable logging for security investigation</t>
        </is>
      </c>
      <c r="C4" s="13" t="inlineStr">
        <is>
          <t>Enable logging for your cloud resources to meet the requirements for security incident investigations and security response and compliance purposes.</t>
        </is>
      </c>
      <c r="D4" s="3" t="inlineStr">
        <is>
          <t>Enable logging capability for resources at the different tiers, such as logs for Azure resources, operating systems and applications inside in your VMs and other log types.
Be mindful about different types of logs for security, audit, and other operational logs at the management/control plane and data plane tiers. There are three types of the logs available at the Azure platform:
Azure resource log: Logging of operations that are performed within an Azure resource (the data plane). For example, getting a secret from a key vault or making a request to a database. The content of resource logs varies by the Azure service and resource type.
Azure activity log: Logging of operations on each Azure resource at the subscription layer, from the outside (the management plane). You can use the Activity Log to determine what, who, and when for any write operations (PUT, POST, DELETE) taken on the resources in your subscription. There is a single Activity log for each Azure subscription.
Azure Active Directory logs: Logs of the history of sign-in activity and audit trail of changes made in the Azure Active Directory for a particular tenant.
You can also use Microsoft Defender for Cloud and Azure Policy to enable resource logs and log data collecting on Azure resources.</t>
        </is>
      </c>
      <c r="E4" s="10" t="inlineStr">
        <is>
          <t>LT-3</t>
        </is>
      </c>
      <c r="F4" s="4" t="inlineStr">
        <is>
          <t>8.2, 8.5, 8.12</t>
        </is>
      </c>
      <c r="G4" s="3" t="inlineStr">
        <is>
          <t>AU-3, AU-6, AU-12, SI-4</t>
        </is>
      </c>
      <c r="H4" s="12" t="inlineStr">
        <is>
          <t>10.1, 10.2, 10.3</t>
        </is>
      </c>
      <c r="I4" s="11" t="inlineStr">
        <is>
          <t>LOG-08, LOG-02, LOG-09</t>
        </is>
      </c>
      <c r="J4" s="27" t="n"/>
      <c r="K4" s="68" t="inlineStr">
        <is>
          <t xml:space="preserve">1.	Are logs from data services (SQL, Key Vault, Storage) centralized?
2.	Is Azure Activity Log streamed to Log Analytics or Sentinel?
3.	Is retention period aligned with compliance?
4.	Are VM OS/application logs ingested?
5.	Are log sources mapped against regulatory audit needs (PCI, SOX, HIPAA)?
</t>
        </is>
      </c>
      <c r="L4" s="69" t="inlineStr">
        <is>
          <t>1.	Diagnostic settings export for multiple resource types (e.g., Key Vault, SQL DB).
2.	Activity Log export configuration ( az monitor log-profiles list ).
3.	Log Analytics retention setting ( az monitor log-analytics workspace show -- query retentionInDays ).
4.	Log Analytics query proving VM logs ingestion ( Heartbeat table).
5.	Sentinel workbook screenshot mapping log sources vs MITRE ATT&amp;CK techniques.
6.	Policy compliance export: "Resource logs should be enabled for ... "</t>
        </is>
      </c>
      <c r="M4" s="9" t="n">
        <v>6</v>
      </c>
      <c r="N4" s="9" t="n"/>
      <c r="O4" s="9" t="n"/>
      <c r="P4" s="1" t="n"/>
      <c r="Q4" s="1" t="n"/>
      <c r="R4" s="1" t="n"/>
    </row>
    <row r="5" ht="141.75" customHeight="1">
      <c r="A5" s="9" t="inlineStr">
        <is>
          <t>CSF-AZ-LTD-04</t>
        </is>
      </c>
      <c r="B5" s="17" t="inlineStr">
        <is>
          <t>Enable network logging for security investigation</t>
        </is>
      </c>
      <c r="C5" s="8" t="inlineStr">
        <is>
          <t>Enable logging for your network services to support network-related incident investigations, threat hunting, and security alert generation. The network logs may include logs from network services such as IP filtering, network and application firewall, DNS, flow monitoring and so on.</t>
        </is>
      </c>
      <c r="D5" s="3" t="inlineStr">
        <is>
          <t>Enable and collect network security group (NSG) resource logs, NSG flow logs, Azure Firewall logs, and Web Application Firewall (WAF) logs, and logs from virtual machines via the network traffic data collection agent for security analysis to support incident investigations, and security alert generation. You can send the flow logs to an Azure Monitor Log Analytics workspace and then use Traffic Analytics to provide insights.
Collect DNS query logs to assist in correlating other network data.</t>
        </is>
      </c>
      <c r="E5" s="10" t="inlineStr">
        <is>
          <t>LT-4</t>
        </is>
      </c>
      <c r="F5" s="4" t="inlineStr">
        <is>
          <t>8.2, 8.5, 8.6, 8.7, 13.6</t>
        </is>
      </c>
      <c r="G5" s="3" t="inlineStr">
        <is>
          <t>AU-3, AU-6, AU-12, SI-4</t>
        </is>
      </c>
      <c r="H5" s="12" t="n">
        <v>10.8</v>
      </c>
      <c r="I5" s="11" t="inlineStr">
        <is>
          <t>LOG-08, LOG-03, LOG-05</t>
        </is>
      </c>
      <c r="J5" s="27" t="n"/>
      <c r="K5" s="68" t="inlineStr">
        <is>
          <t xml:space="preserve">1.	Are NSG flow logs enabled on all VNets?
2.	Is Traffic Analytics running for network flows?
3.	Are DNS logs ingested?
</t>
        </is>
      </c>
      <c r="L5" s="69" t="inlineStr">
        <is>
          <t>1.	NSG flow log status: az network watcher flow-log show -- nsg &lt;nsgName&gt; -- resource-group &lt;rg&gt;
2.	Traffic Analytics config export ( az network watcher flow-log show -- query flowAnalyticsConfiguration ).
3.	Azure Firewall diagnostic log settings export.</t>
        </is>
      </c>
      <c r="M5" s="9" t="n">
        <v>3</v>
      </c>
      <c r="N5" s="9" t="n"/>
      <c r="O5" s="9" t="n"/>
      <c r="P5" s="1" t="n"/>
      <c r="Q5" s="1" t="n"/>
      <c r="R5" s="1" t="n"/>
    </row>
    <row r="6" ht="285" customHeight="1">
      <c r="A6" s="9" t="inlineStr">
        <is>
          <t>CSF-AZ-LTD-05</t>
        </is>
      </c>
      <c r="B6" s="13" t="inlineStr">
        <is>
          <t>Centralize security log management and analysis</t>
        </is>
      </c>
      <c r="C6" s="8" t="inlineStr">
        <is>
          <t>Centralize logging storage and analysis to enable correlation across log data. For each log source, ensure that you have assigned a data owner, access guidance, storage location, what tools are used to process and access the data, and data retention requirements.
Use Cloud native SIEM if you don't have an existing SIEM solution for CSPs. or aggregate logs/alerts into your existing SIEM.</t>
        </is>
      </c>
      <c r="D6" s="3" t="inlineStr">
        <is>
          <t>Ensure that you are integrating Azure activity logs into a centralized Log Analytics workspace. Use Azure Monitor to query and perform analytics and create alert rules using the logs aggregated from Azure services, endpoint devices, network resources, and other security systems.
In addition, enable and onboard data to Microsoft Sentinel which provides security information event management (SIEM) and security orchestration automated response (SOAR) capabilities.</t>
        </is>
      </c>
      <c r="E6" s="10" t="inlineStr">
        <is>
          <t>LT-5</t>
        </is>
      </c>
      <c r="F6" s="4" t="inlineStr">
        <is>
          <t>8.9, 8.11, 13.1</t>
        </is>
      </c>
      <c r="G6" s="3" t="inlineStr">
        <is>
          <t>AU-3, AU-6, AU-12, SI-4</t>
        </is>
      </c>
      <c r="H6" s="12" t="inlineStr">
        <is>
          <t>N/A</t>
        </is>
      </c>
      <c r="I6" s="11" t="inlineStr">
        <is>
          <t>LOG-05, LOG-08, LOG-02</t>
        </is>
      </c>
      <c r="J6" s="27" t="n"/>
      <c r="K6" s="68" t="inlineStr">
        <is>
          <t xml:space="preserve">1.	Are logs from Azure resources centralized into Log Analytics or Sentinel?
2.	Which connectors (Azure AD, Defender, M365, AWS/GCP) are active?
3.	Is the SIEM ingesting all required categories (Audit, Security, Diagnostics)?
4.	Are analysts using a single pane of glass for correlation and investigation?
</t>
        </is>
      </c>
      <c r="L6" s="69" t="inlineStr">
        <is>
          <t xml:space="preserve">1.	Sentinel data connector list: az sentinel data-connector list -- resource-group &lt;rg&gt; -- workspace-name &lt;ws&gt;
2.	Screenshot of Sentinel workbooks/dashboard showing multi-source log ingestion.
3.	Azure Monitor diagnostic settings export for at least 3 resource types (e.g., Storage, SQL,
Key Vault).
4.	Log ingestion volume per table in Log Analytics ( Usage | summarize TotalGB =
sum(Quantity) by DataType ).
5.	Export of SIEM correlation rules (JSON) demonstrating cross-log analytics.
6.	Proof of external cloud connectors (AWS CloudTrail, GCP Audit Logs) in Sentinel.
</t>
        </is>
      </c>
      <c r="M6" s="9" t="n">
        <v>6</v>
      </c>
      <c r="N6" s="9" t="n"/>
      <c r="O6" s="9" t="n"/>
      <c r="P6" s="1" t="n"/>
      <c r="Q6" s="1" t="n"/>
      <c r="R6" s="1" t="n"/>
    </row>
    <row r="7" ht="255" customHeight="1">
      <c r="A7" s="9" t="inlineStr">
        <is>
          <t>CSF-AZ-LTD-06</t>
        </is>
      </c>
      <c r="B7" s="13" t="inlineStr">
        <is>
          <t>Configure log storage retention</t>
        </is>
      </c>
      <c r="C7" s="8" t="inlineStr">
        <is>
          <t>Plan your log retention strategy according to your compliance, regulation, and business requirements. Configure the log retention policy at the individual logging services to ensure the logs are archived appropriately.</t>
        </is>
      </c>
      <c r="D7" s="3" t="inlineStr">
        <is>
          <t xml:space="preserve">Logs such as Azure Activity Logs are retained for 90 days and then deleted. You should create a diagnostic setting and route the logs to another location (such as Azure Monitor Log Analytics workspace, Event Hubs or Azure Storage) based on your needs. This strategy also applies to other resource logs and resources managed by yourself such as logs in the operating systems and applications inside VMs.
You have the log retention option as below:
Use Azure Monitor Log Analytics workspace for a log retention period of up to 1 year or per your response team requirements.
Use Azure Storage, Data Explorer or Data Lake for long-term and archival storage for greater than 1 year and to meet your security compliance requirements.
Use Azure Event Hubs to forward logs to an external resource outside of Azure.
</t>
        </is>
      </c>
      <c r="E7" s="10" t="inlineStr">
        <is>
          <t>LT-6</t>
        </is>
      </c>
      <c r="F7" s="4" t="inlineStr">
        <is>
          <t>8.3, 8.10</t>
        </is>
      </c>
      <c r="G7" s="3" t="inlineStr">
        <is>
          <t>AU-11</t>
        </is>
      </c>
      <c r="H7" s="12" t="inlineStr">
        <is>
          <t>10.5, 10.7</t>
        </is>
      </c>
      <c r="I7" s="11" t="inlineStr">
        <is>
          <t>LOG-02, LOG-17, LOG-08</t>
        </is>
      </c>
      <c r="J7" s="27" t="n"/>
      <c r="K7" s="68" t="inlineStr">
        <is>
          <t xml:space="preserve">1.	Is log retention configured to meet compliance (90 days, 1 year, 7 years)?
2.	Are immutable/archival storage accounts used for long-term log retention?
3.	Are retention settings aligned with incident response and regulatory audit requirements?
</t>
        </is>
      </c>
      <c r="L7" s="69" t="inlineStr">
        <is>
          <t xml:space="preserve">1.	Log Analytics workspace retention setting: az monitor log-analytics workspace show -- query retentionInDays
2.	Screenshot of Sentinel "Data retention" blade per workspace.
3.	Azure Policy compliance for "Log Analytics workspaces should have at least X days
retention."
4.	Storage Account container properties showing WORM/Immutable blob retention enabled for
archived logs.
5.	Export of diagnostic settings proving logs are being sent to long-term storage (e.g., Azure Storage, Event Hub).
</t>
        </is>
      </c>
      <c r="M7" s="9" t="n">
        <v>5</v>
      </c>
      <c r="N7" s="9" t="n"/>
      <c r="O7" s="9" t="n"/>
      <c r="P7" s="1" t="n"/>
      <c r="Q7" s="1" t="n"/>
      <c r="R7" s="1" t="n"/>
    </row>
    <row r="8" ht="200.25" customHeight="1">
      <c r="A8" s="20" t="inlineStr">
        <is>
          <t>CSF-AZ-LTD-07</t>
        </is>
      </c>
      <c r="B8" s="16" t="inlineStr">
        <is>
          <t>Use approved time synchronization sources</t>
        </is>
      </c>
      <c r="C8" s="21" t="inlineStr">
        <is>
          <t xml:space="preserve"> Use approved time synchronization sources for your logging time stamp which include date, time and time zone information.</t>
        </is>
      </c>
      <c r="D8" s="22" t="inlineStr">
        <is>
          <t>Microsoft maintains time sources for most Azure PaaS and SaaS services. For your compute resources operating systems, use a Microsoft default NTP server for time synchronization unless you have a specific requirement. If you need to stand up your own network time protocol (NTP) server, ensure you secure the UDP service port 123.
All logs generated by resources within Azure provide time stamps with the time zone specified by default.</t>
        </is>
      </c>
      <c r="E8" s="32" t="inlineStr">
        <is>
          <t>LT-7</t>
        </is>
      </c>
      <c r="F8" s="23" t="n">
        <v>8.4</v>
      </c>
      <c r="G8" s="22" t="inlineStr">
        <is>
          <t>AU-8</t>
        </is>
      </c>
      <c r="H8" s="24" t="n">
        <v>10.4</v>
      </c>
      <c r="I8" s="28" t="inlineStr">
        <is>
          <t>LOG-08, LOG-02</t>
        </is>
      </c>
      <c r="J8" s="29" t="n"/>
      <c r="K8" s="70" t="inlineStr">
        <is>
          <t xml:space="preserve">1.	Are all VMs synchronized to Azure's NTP or approved enterprise NTP servers?
2.	Are non-approved/external NTP sources blocked?
3.	Do logs show consistent timestamps across all resource types?
</t>
        </is>
      </c>
      <c r="L8" s="71" t="inlineStr">
        <is>
          <t>1.	Windows VM config: powershell w32tm /query /status
2.	Linux VM config: timedatectl show | grep NTP
3.	Azure Policy compliance for "Time synchronization settings should use approved NTP sources."
4.	Sample log entries from Sentinel ( Heartbeat | project TimeGenerated ) showing consistent UTC timestamps.</t>
        </is>
      </c>
      <c r="M8" s="20" t="n">
        <v>4</v>
      </c>
      <c r="N8" s="20" t="n"/>
      <c r="O8" s="20" t="n"/>
      <c r="P8" s="25" t="n"/>
      <c r="Q8" s="25" t="n"/>
      <c r="R8" s="25" t="n"/>
    </row>
    <row r="9" ht="85.5" customHeight="1">
      <c r="A9" s="20" t="inlineStr">
        <is>
          <t>CSF-AZ-LTD-08</t>
        </is>
      </c>
      <c r="B9" s="30" t="inlineStr">
        <is>
          <t>Core log collection established, but not necessarily consistent</t>
        </is>
      </c>
      <c r="C9" s="30" t="inlineStr">
        <is>
          <t>At this level, the core cloud management plane logs are collected, but this may not be centralized or consistent. At a minimum, cloud API logs (e.g., CloudTrail, Azure Activity Log, GCP Cloud Audit Log) are collected for a majority of cloud deployments.</t>
        </is>
      </c>
      <c r="D9" s="30" t="inlineStr">
        <is>
          <t>Azure Monitor is configured with at least one EventHub that sends Activity Logs to a Storage Account or external storage/SIEM</t>
        </is>
      </c>
      <c r="E9" s="34" t="n"/>
      <c r="F9" s="1" t="n"/>
      <c r="G9" s="19" t="n"/>
      <c r="H9" s="19" t="n"/>
      <c r="I9" s="33" t="n"/>
      <c r="J9" s="30" t="inlineStr">
        <is>
          <t>LOG-02.1</t>
        </is>
      </c>
      <c r="K9" s="73" t="inlineStr">
        <is>
          <t>Is the organization currently following the Azure Guidance ?</t>
        </is>
      </c>
      <c r="L9" s="73" t="inlineStr">
        <is>
          <t>Confirmation of the Assessment question</t>
        </is>
      </c>
      <c r="M9" s="1" t="n">
        <v>1</v>
      </c>
      <c r="N9" s="1" t="n"/>
      <c r="O9" s="1" t="n"/>
      <c r="P9" s="1" t="n"/>
      <c r="Q9" s="1" t="n"/>
      <c r="R9" s="1" t="n"/>
    </row>
    <row r="10" ht="42.75" customHeight="1">
      <c r="A10" s="20" t="inlineStr">
        <is>
          <t>CSF-AZ-LTD-09</t>
        </is>
      </c>
      <c r="B10" s="30" t="inlineStr">
        <is>
          <t>Management plane API activity logs are consistently collected and centralized</t>
        </is>
      </c>
      <c r="C10" s="30" t="inlineStr">
        <is>
          <t>Cloud management plane logs are consistently and centrally collected</t>
        </is>
      </c>
      <c r="D10" s="30" t="inlineStr">
        <is>
          <t>Each Azure subscription has an EventHub that sends to the same destination</t>
        </is>
      </c>
      <c r="E10" s="34" t="n"/>
      <c r="F10" s="1" t="n"/>
      <c r="G10" s="19" t="n"/>
      <c r="H10" s="19" t="n"/>
      <c r="I10" s="33" t="n"/>
      <c r="J10" s="30" t="inlineStr">
        <is>
          <t>LOG-03.1</t>
        </is>
      </c>
      <c r="K10" s="73" t="inlineStr">
        <is>
          <t>Is the organization currently following the Azure Guidance ?</t>
        </is>
      </c>
      <c r="L10" s="73" t="inlineStr">
        <is>
          <t>Confirmation of the Assessment question</t>
        </is>
      </c>
      <c r="M10" s="1" t="n">
        <v>1</v>
      </c>
      <c r="N10" s="1" t="n"/>
      <c r="O10" s="1" t="n"/>
      <c r="P10" s="1" t="n"/>
      <c r="Q10" s="1" t="n"/>
      <c r="R10" s="1" t="n"/>
    </row>
    <row r="11" ht="142.5" customHeight="1">
      <c r="A11" s="20" t="inlineStr">
        <is>
          <t>CSF-AZ-LTD-10</t>
        </is>
      </c>
      <c r="B11" s="30" t="inlineStr">
        <is>
          <t>CSP threat/detection feeds are enabled and collected for at least production environments</t>
        </is>
      </c>
      <c r="C11" s="30" t="inlineStr">
        <is>
          <t>All cloud providers include add-on security feeds that often require separate subscriptions. While these can incrementally increase costs, they can typically perform monitoring and alerting for active cloud threats that are difficult to otherwise obtain and build.
These feeds should be enabled for at least production deployments, with the results feeding a SIEM or other monitoring platform.</t>
        </is>
      </c>
      <c r="D11" s="30" t="inlineStr">
        <is>
          <t>Defender for Cloud Standard is enabled in all subscriptions labeled production. If subscriptions are not labeled, pass if &gt;50% of subscriptions use Defender</t>
        </is>
      </c>
      <c r="E11" s="34" t="n"/>
      <c r="F11" s="1" t="n"/>
      <c r="G11" s="19" t="n"/>
      <c r="H11" s="19" t="n"/>
      <c r="I11" s="33" t="n"/>
      <c r="J11" s="30" t="inlineStr">
        <is>
          <t>LOG-03.2</t>
        </is>
      </c>
      <c r="K11" s="73" t="inlineStr">
        <is>
          <t>Is the organization currently following the Azure Guidance ?</t>
        </is>
      </c>
      <c r="L11" s="73" t="inlineStr">
        <is>
          <t>Confirmation of the Assessment question</t>
        </is>
      </c>
      <c r="M11" s="9" t="n">
        <v>1</v>
      </c>
      <c r="N11" s="1" t="n"/>
      <c r="O11" s="1" t="n"/>
      <c r="P11" s="1" t="n"/>
      <c r="Q11" s="1" t="n"/>
      <c r="R11" s="1" t="n"/>
    </row>
    <row r="12" ht="185.25" customHeight="1">
      <c r="A12" s="20" t="inlineStr">
        <is>
          <t>CSF-AZ-LTD-11</t>
        </is>
      </c>
      <c r="B12" s="30" t="inlineStr">
        <is>
          <t>Robust cloud platform security telemetry centrally collected</t>
        </is>
      </c>
      <c r="C12" s="30" t="inlineStr">
        <is>
          <t xml:space="preserve">Organizations should have a list of required security telemetry from their cloud providers, which will include multiple sources beyond just the management plane logs.
These sources should include a mixture of CSP security feeds, service logs/events and workload logs. This control objective can be automatically assessed by looking for a mixture of common security telemetry feeds, but this needs to be backed by manual assessment because, in many cases, security telemetry will be collected using third-party tooling (especially for workload logs). </t>
        </is>
      </c>
      <c r="D12" s="30" t="inlineStr">
        <is>
          <t>Check that more than three of the following security sources are enabled in &gt;50% of monitored subscriptions:
* Azure Defender for Cloud CSPM
* AAD sign in logs
* AAD activity log</t>
        </is>
      </c>
      <c r="E12" s="34" t="n"/>
      <c r="F12" s="1" t="n"/>
      <c r="G12" s="19" t="n"/>
      <c r="H12" s="19" t="n"/>
      <c r="I12" s="33" t="n"/>
      <c r="J12" s="30" t="inlineStr">
        <is>
          <t>LOG-04.1</t>
        </is>
      </c>
      <c r="K12" s="73" t="inlineStr">
        <is>
          <t>Is the organization currently following the Azure Guidance ?</t>
        </is>
      </c>
      <c r="L12" s="73" t="inlineStr">
        <is>
          <t>Confirmation of the Assessment question</t>
        </is>
      </c>
      <c r="M12" s="9" t="n">
        <v>1</v>
      </c>
      <c r="N12" s="1" t="n"/>
      <c r="O12" s="1" t="n"/>
      <c r="P12" s="1" t="n"/>
      <c r="Q12" s="1" t="n"/>
      <c r="R12" s="1" t="n"/>
    </row>
    <row r="13" ht="242.25" customHeight="1">
      <c r="A13" s="9" t="inlineStr">
        <is>
          <t>CSF-AZ-LTD-12</t>
        </is>
      </c>
      <c r="B13" s="31" t="inlineStr">
        <is>
          <t>Cloud-native threat detectors are enabled</t>
        </is>
      </c>
      <c r="C13" s="30" t="inlineStr">
        <is>
          <t>Cloud-native threat detectors monitor management plane and other sources for signs of cloud attacks. These are different than traditional threat detectors because they look for cloud platform activity—not necessarily network or workload activity—to indicate potential attacks.
For this control objective, threat detectors beyond those built into the cloud platform's built-in threat monitoring service should be enabled (e.g., custom detectors, not just GuardDuty or Defender). These detectors can be implemented natively in the cloud platform, but will typically be run from an external SIEM or cloud detection and response (CDR) platform. Thus, this detector is difficult to automatically assess, unless the assessment tool itself includes the capability.</t>
        </is>
      </c>
      <c r="D13" s="30" t="inlineStr">
        <is>
          <t>Sentinel is running with default detectors (behavioral analytics) running</t>
        </is>
      </c>
      <c r="E13" s="34" t="n"/>
      <c r="F13" s="1" t="n"/>
      <c r="G13" s="19" t="n"/>
      <c r="H13" s="19" t="n"/>
      <c r="I13" s="33" t="n"/>
      <c r="J13" s="30" t="inlineStr">
        <is>
          <t>LOG-04.2</t>
        </is>
      </c>
      <c r="K13" s="73" t="inlineStr">
        <is>
          <t>Is the organization currently following the Azure Guidance ?</t>
        </is>
      </c>
      <c r="L13" s="73" t="inlineStr">
        <is>
          <t>Confirmation of the Assessment question</t>
        </is>
      </c>
      <c r="M13" s="9" t="n">
        <v>1</v>
      </c>
      <c r="N13" s="1" t="n"/>
      <c r="O13" s="1" t="n"/>
      <c r="P13" s="1" t="n"/>
      <c r="Q13" s="1" t="n"/>
      <c r="R13" s="1" t="n"/>
    </row>
    <row r="14">
      <c r="E14" s="4" t="n"/>
      <c r="F14" s="1" t="n"/>
      <c r="G14" s="19" t="n"/>
      <c r="H14" s="19" t="n"/>
      <c r="I14" s="1" t="n"/>
      <c r="J14" s="35" t="n"/>
      <c r="K14" s="76" t="n"/>
      <c r="L14" s="76" t="n"/>
      <c r="M14" s="1" t="n"/>
      <c r="N14" s="1" t="n"/>
      <c r="O14" s="1" t="n"/>
      <c r="P14" s="1" t="n"/>
      <c r="Q14" s="1" t="n"/>
      <c r="R14" s="1" t="n"/>
    </row>
  </sheetData>
  <dataValidations count="1">
    <dataValidation sqref="O2:O8" showDropDown="0" showInputMessage="1" showErrorMessage="1" allowBlank="1" type="list">
      <formula1>"Complete,Partial,Non-Compliant"</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38.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7" t="inlineStr">
        <is>
          <t xml:space="preserve">Assessment Question </t>
        </is>
      </c>
      <c r="K1" s="67" t="inlineStr">
        <is>
          <t>Evidence to Collect</t>
        </is>
      </c>
      <c r="L1" s="6" t="inlineStr">
        <is>
          <t>Evidence Count</t>
        </is>
      </c>
      <c r="M1" s="6" t="inlineStr">
        <is>
          <t>Available Evidence Count</t>
        </is>
      </c>
      <c r="N1" s="6" t="inlineStr">
        <is>
          <t>Compliance Status</t>
        </is>
      </c>
      <c r="O1" s="6" t="inlineStr">
        <is>
          <t>Risk Severity (if non-compliant)</t>
        </is>
      </c>
      <c r="P1" s="6" t="inlineStr">
        <is>
          <t xml:space="preserve">Implementation Gap </t>
        </is>
      </c>
      <c r="Q1" s="6" t="inlineStr">
        <is>
          <t>Notes/Comments</t>
        </is>
      </c>
    </row>
    <row r="2" ht="259.5" customHeight="1">
      <c r="A2" s="9" t="inlineStr">
        <is>
          <t>CSF-AZ-IR-01</t>
        </is>
      </c>
      <c r="B2" s="13" t="inlineStr">
        <is>
          <t>Preparation - update incident response plan and handling process</t>
        </is>
      </c>
      <c r="C2" s="14" t="inlineStr">
        <is>
          <t xml:space="preserve">Ensure your organization follows industry best practice to develop processes and plans to respond to security incidents on the cloud platforms. Be mindful about the shared responsibility model and the variances across IaaS, PaaS, and SaaS services. This will have a direct impact on how you collaborate with your cloud provider in incident response and handling activities, such as incident notification and triage, evidence collection, investigation, eradication, and recovery.
Regularly test the incident response plan and handling process to ensure they're up to date.
</t>
        </is>
      </c>
      <c r="D2" s="3" t="inlineStr">
        <is>
          <t>Update your organization's incident response process to include the handling of incidents in the Azure platform. Based on the Azure services used and your application nature, customize the incident response plan and playbook to ensure they can be used to respond to the incident in the cloud environment.</t>
        </is>
      </c>
      <c r="E2" s="10" t="inlineStr">
        <is>
          <t>IR-1</t>
        </is>
      </c>
      <c r="F2" s="4" t="inlineStr">
        <is>
          <t>17.4, 17.7</t>
        </is>
      </c>
      <c r="G2" s="3" t="inlineStr">
        <is>
          <t>IR-4, IR-8</t>
        </is>
      </c>
      <c r="H2" s="12" t="n">
        <v>10.8</v>
      </c>
      <c r="I2" s="11" t="inlineStr">
        <is>
          <t>SEF-01, SEF-02, SEF-03</t>
        </is>
      </c>
      <c r="J2" s="68" t="inlineStr">
        <is>
          <t xml:space="preserve">1.	Is there an Azure-specific IR plan covering Sentinel, Defender for Cloud, and AAD?
2.	When was the last IR tabletop exercise conducted?
3.	Are runbooks/playbooks reviewed and updated after plan revisions?
</t>
        </is>
      </c>
      <c r="K2" s="69" t="inlineStr">
        <is>
          <t xml:space="preserve">1.	IR plan version log with last modified timestamp ( SharePoint/Confluence version history ).
2.	Sentinel playbook export: az sentinel automation-rule list -- resource-group &lt;rg&gt; -- workspace-name &lt;ws&gt;
3.	Change history for IR runbooks in Azure Automation ( az automation runbook list .. resource-group &lt;rg&gt; ).
4.	Evidence of simulated attack drill in Sentinel ( SecurityIncident | where Title contains "simulation" ).
</t>
        </is>
      </c>
      <c r="L2" s="9" t="n">
        <v>4</v>
      </c>
      <c r="M2" s="9" t="n"/>
      <c r="N2" s="9" t="n"/>
      <c r="O2" s="1" t="n"/>
      <c r="P2" s="1" t="n"/>
      <c r="Q2" s="1" t="n"/>
    </row>
    <row r="3" ht="294" customHeight="1">
      <c r="A3" s="9" t="inlineStr">
        <is>
          <t>CSF-AZ-IR-02</t>
        </is>
      </c>
      <c r="B3" s="16" t="inlineStr">
        <is>
          <t>Preparation - setup incident notification</t>
        </is>
      </c>
      <c r="C3" s="8" t="inlineStr">
        <is>
          <t xml:space="preserve"> Ensure the security alerts and incident notifications from the cloud service provider's platform and your environments can be received by correct contact in your incident response organization.
</t>
        </is>
      </c>
      <c r="D3" s="3" t="inlineStr">
        <is>
          <t>Set up security incident contact information in Microsoft Defender for Cloud. This contact information is used by Microsoft to contact you if the Microsoft Security Response Center (MSRC) discovers that your data has been accessed by an unlawful or unauthorized party. You also have options to customize incident alerts and notification in different Azure services based on your incident response needs.</t>
        </is>
      </c>
      <c r="E3" s="10" t="inlineStr">
        <is>
          <t>IR-2</t>
        </is>
      </c>
      <c r="F3" s="4" t="inlineStr">
        <is>
          <t>17.1, 17.3, 17.6</t>
        </is>
      </c>
      <c r="G3" s="3" t="inlineStr">
        <is>
          <t>IR-4, IR-8, IR-5, IR-6</t>
        </is>
      </c>
      <c r="H3" s="12" t="n">
        <v>12.1</v>
      </c>
      <c r="I3" s="11" t="inlineStr">
        <is>
          <t>SEF-04, SEF-02</t>
        </is>
      </c>
      <c r="J3" s="68" t="inlineStr">
        <is>
          <t xml:space="preserve">1.	Is a security contact configured in Defender for Cloud?
2.	Are incident alerts integrated with ticketing (ServiceNow, Jira) or paging (Teams,
PagerDuty)?
3.	Are alternate comms (SMS/email) tested for out-of-band notifications?
</t>
        </is>
      </c>
      <c r="K3" s="69" t="inlineStr">
        <is>
          <t xml:space="preserve">1.	az security contact list -- query "[]. {Email: email, Phone: phone}".
2.	Sentinel alert - Logic App connector export proving ServiceNow integration.
3.	Azure Monitor action group configuration ( az monitor action-group list ).
</t>
        </is>
      </c>
      <c r="L3" s="9" t="n">
        <v>3</v>
      </c>
      <c r="M3" s="9" t="n"/>
      <c r="N3" s="9" t="n"/>
      <c r="O3" s="1" t="n"/>
      <c r="P3" s="1" t="n"/>
      <c r="Q3" s="1" t="n"/>
    </row>
    <row r="4" ht="294" customHeight="1">
      <c r="A4" s="9" t="inlineStr">
        <is>
          <t>CSF-AZ-IR-03</t>
        </is>
      </c>
      <c r="B4" s="3" t="inlineStr">
        <is>
          <t>Detection and analysis - create incidents based on high-quality alerts</t>
        </is>
      </c>
      <c r="C4" s="13" t="inlineStr">
        <is>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is>
      </c>
      <c r="D4" s="3" t="inlineStr">
        <is>
          <t>Microsoft Defender for Cloud provides high-quality alerts across many Azure assets. You can use the Microsoft Defender for Cloud data connector to stream the alerts to Microsoft Sentinel. Microsoft Sentinel lets you create advanced alert rules to generate incidents automatically for an investigation.
Export your Microsoft Defender for Cloud alerts and recommendations using the export feature to help identify risks to Azure resources. Export alerts and recommendations either manually or in an ongoing, continuous fashion.</t>
        </is>
      </c>
      <c r="E4" s="10" t="inlineStr">
        <is>
          <t>IR-3</t>
        </is>
      </c>
      <c r="F4" s="4" t="n">
        <v>17.9</v>
      </c>
      <c r="G4" s="3" t="inlineStr">
        <is>
          <t>IR-4, IR-5, IR-7</t>
        </is>
      </c>
      <c r="H4" s="12" t="n">
        <v>10.8</v>
      </c>
      <c r="I4" s="11" t="inlineStr">
        <is>
          <t>LOG-05, LOG-08, SEF-03</t>
        </is>
      </c>
      <c r="J4" s="68" t="inlineStr">
        <is>
          <t xml:space="preserve">1.	Are Microsoft Defender alerts automatically converted into Sentinel incidents?
2.	Is there deduplication/correlation to prevent alert flooding?
3.	How is fidelity measured (false positives, true positives)?
4.	Are alerts prioritized against MITRE ATT&amp;CK techniques?
</t>
        </is>
      </c>
      <c r="K4" s="69" t="inlineStr">
        <is>
          <t>1.	Sentinel analytics rule export ( az sentinel alert-rule list ).
2.	Incident export where ProviderName == "Microsoft. Security".
3.	KQL correlation query: Kusto : SecurityIncident | summarize count() by AlertProductNames
4.	MITRE ATT&amp;CK mapping workbook screenshot from Sentinel.
5.	Log Analytics query showing false positive suppression rates.</t>
        </is>
      </c>
      <c r="L4" s="9" t="n">
        <v>5</v>
      </c>
      <c r="M4" s="9" t="n"/>
      <c r="N4" s="9" t="n"/>
      <c r="O4" s="1" t="n"/>
      <c r="P4" s="1" t="n"/>
      <c r="Q4" s="1" t="n"/>
    </row>
    <row r="5" ht="119.25" customHeight="1">
      <c r="A5" s="9" t="inlineStr">
        <is>
          <t>CSF-AZ-IR-04</t>
        </is>
      </c>
      <c r="B5" s="17" t="inlineStr">
        <is>
          <t>Detection and analysis - investigate an incident</t>
        </is>
      </c>
      <c r="C5" s="8" t="inlineStr">
        <is>
          <t>Ensure the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captured for other analysts and for future historical reference.
Use the cloud native SIEM and incident management solution if your organization does not have an existing solution to aggregate security logs and alerts information. Correlate incident data based on the data sourced from different sources to facility the incident investigations.</t>
        </is>
      </c>
      <c r="D5" s="3" t="inlineStr">
        <is>
          <t xml:space="preserve"> Ensure your security operations team can query and use diverse data sources that are collected from the in-scope services and systems. In addition, it sources can also include:
Identity and access log data: Use Azure AD logs and workload (such as operating systems or application level) access logs for correlating identity and access events.
Network data: Use network security groups' flow logs, Azure Network Watcher, and Azure Monitor to capture network flow logs and other analytics information.
Incident related activity data of from snapshots of the impacted systems, which can be obtained through:
The azure virtual machine's snapshots capability, to create a snapshot of the running system's disk.
The operating system's native memory dump capability, to create a snapshot of the running system's memory.
The snapshot feature of other supported Azure services or your software's own capability, to create snapshots of the running systems.
Microsoft Sentinel provides extensive data analytics across virtually any log source and a case management portal to manage the full lifecycle of incidents. Intelligence information during an investigation can be associated with an incident for tracking and reporting purposes.</t>
        </is>
      </c>
      <c r="E5" s="10" t="inlineStr">
        <is>
          <t>IR-4</t>
        </is>
      </c>
      <c r="F5" s="4" t="inlineStr">
        <is>
          <t>N/A</t>
        </is>
      </c>
      <c r="G5" s="3" t="inlineStr">
        <is>
          <t>IR-4</t>
        </is>
      </c>
      <c r="H5" s="12" t="n">
        <v>12.1</v>
      </c>
      <c r="I5" s="11" t="inlineStr">
        <is>
          <t>SEF-04, GRM-07</t>
        </is>
      </c>
      <c r="J5" s="68" t="inlineStr">
        <is>
          <t xml:space="preserve">1.	Are telemetry sources (AAD sign-in, NSG flows, VM OS logs) ingested into Sentinel?
2.	Are snapshots and forensic images taken during investigation?
3.	Do analysts use standardized KQL queries/playbooks?
</t>
        </is>
      </c>
      <c r="K5" s="69" t="inlineStr">
        <is>
          <t xml:space="preserve">1.	Sample KQL queries run during last incident investigation.
2.	NSG flow log JSON export ( az network watcher flow-log show ).
3.	VM snapshot list ( az snapshot list -- resource-group &lt;rg&gt; ).
4.	Immutable storage container listing forensic memory dumps.
</t>
        </is>
      </c>
      <c r="L5" s="9" t="n">
        <v>4</v>
      </c>
      <c r="M5" s="9" t="n"/>
      <c r="N5" s="9" t="n"/>
      <c r="O5" s="1" t="n"/>
      <c r="P5" s="1" t="n"/>
      <c r="Q5" s="1" t="n"/>
    </row>
    <row r="6" ht="123" customHeight="1">
      <c r="A6" s="9" t="inlineStr">
        <is>
          <t>CSF-AZ-IR-05</t>
        </is>
      </c>
      <c r="B6" s="13" t="inlineStr">
        <is>
          <t>Detection and analysis - prioritize incidents</t>
        </is>
      </c>
      <c r="C6" s="8" t="inlineStr">
        <is>
          <t xml:space="preserve"> Provide context to security operations teams to help them determine which incidents ought to first be focused on, based on alert severity and asset sensitivity defined in your organization’s incident response plan.
Additionally, mark resources using tags and create a naming system to identify and categorize your cloud resources, especially those processing sensitive data. It is your responsibility to prioritize the remediation of alerts based on the criticality of the resources and environment where the incident occurred.</t>
        </is>
      </c>
      <c r="D6" s="3" t="inlineStr">
        <is>
          <t xml:space="preserve"> Microsoft Defender for Cloud assigns a severity to each alert to help you prioritize which alerts should be investigated first. The severity is based on how confident Microsoft Defender for Cloud is in the finding or the analytics used to issue the alert, as well as the confidence level that there was malicious intent behind the activity that led to the alert.
Similarly, Microsoft Sentinel creates alerts and incidents with an assigned severity and other details based on analytics rules. Use analytic rule templates and customize the rules according to your organization's needs to support incident prioritization. Use automation rules in Microsoft Sentinel to manage and orchestrate threat response in order to maximize your security operation's team efficiency and effectiveness, including tagging incidents to classify them.</t>
        </is>
      </c>
      <c r="E6" s="10" t="inlineStr">
        <is>
          <t>IR-5</t>
        </is>
      </c>
      <c r="F6" s="4" t="inlineStr">
        <is>
          <t>17.4, 17.9</t>
        </is>
      </c>
      <c r="G6" s="3" t="inlineStr">
        <is>
          <t>IR-4</t>
        </is>
      </c>
      <c r="H6" s="12" t="n">
        <v>12.1</v>
      </c>
      <c r="I6" s="11" t="inlineStr">
        <is>
          <t>CCC-05, SEF-05</t>
        </is>
      </c>
      <c r="J6" s="68" t="inlineStr">
        <is>
          <t xml:space="preserve">1.	How are severity levels defined (system default vs custom rules)?
2.	Are incidents tied to asset tags or business impact classifications?
3.	Are SLA response times enforced across severities?
4.	How are repeated incidents prioritized differently from new ones?
</t>
        </is>
      </c>
      <c r="K6" s="69" t="inlineStr">
        <is>
          <t xml:space="preserve">1.	Sentinel incident export with severity metadata.
2.	Azure Resource Graph query: Kusto : Resources | where tags. CriticalAsset == "true"
3.	SLA compliance metrics from SOC ticketing integration.
4.	Sentinel incident timeline export showing "repeat offenders."
</t>
        </is>
      </c>
      <c r="L6" s="9" t="n">
        <v>4</v>
      </c>
      <c r="M6" s="9" t="n"/>
      <c r="N6" s="9" t="n"/>
      <c r="O6" s="1" t="n"/>
      <c r="P6" s="1" t="n"/>
      <c r="Q6" s="1" t="n"/>
    </row>
    <row r="7" ht="163.5" customHeight="1">
      <c r="A7" s="9" t="inlineStr">
        <is>
          <t>CSF-AZ-IR-06</t>
        </is>
      </c>
      <c r="B7" s="13" t="inlineStr">
        <is>
          <t xml:space="preserve">Containment, eradication and recovery - automate the incident handling
</t>
        </is>
      </c>
      <c r="C7" s="8" t="inlineStr">
        <is>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is>
      </c>
      <c r="D7" s="3" t="inlineStr">
        <is>
          <t>Use workflow automation features in Microsoft Defender for Cloud and Microsoft Sentinel to automatically trigger actions or run a playbooks to respond to incoming security alerts. Playbooks take actions, such as sending notifications, disabling accounts, and isolating problematic networks.</t>
        </is>
      </c>
      <c r="E7" s="10" t="inlineStr">
        <is>
          <t>IR-6</t>
        </is>
      </c>
      <c r="F7" s="4" t="inlineStr">
        <is>
          <t>N/A</t>
        </is>
      </c>
      <c r="G7" s="3" t="inlineStr">
        <is>
          <t>IR-4, IR-5, IR-6</t>
        </is>
      </c>
      <c r="H7" s="12" t="n">
        <v>12.1</v>
      </c>
      <c r="I7" s="11" t="inlineStr">
        <is>
          <t>SEF-06, GRM-08</t>
        </is>
      </c>
      <c r="J7" s="68" t="inlineStr">
        <is>
          <t xml:space="preserve">1.	Which incidents trigger automated SOAR playbooks?
2.	What containment steps are executed automatically (block IP, isolate VM, disable account)?
3.	How are manual approvals integrated into automated flows?
</t>
        </is>
      </c>
      <c r="K7" s="69" t="inlineStr">
        <is>
          <t xml:space="preserve">1.	Sentinel automation rule JSON export.
2.	Logic App runbook execution log for VM isolation.
3.	Azure AD audit logs: Kusto: AuditLogs | where ActivityDisplayName == "Block user"
4.	Approval logs/screenshots from playbooks requiring analyst confirmation.
</t>
        </is>
      </c>
      <c r="L7" s="9" t="n">
        <v>4</v>
      </c>
      <c r="M7" s="9" t="n"/>
      <c r="N7" s="9" t="n"/>
      <c r="O7" s="1" t="n"/>
      <c r="P7" s="1" t="n"/>
      <c r="Q7" s="1" t="n"/>
    </row>
    <row r="8" ht="200.25" customHeight="1">
      <c r="A8" s="9" t="inlineStr">
        <is>
          <t>CSF-AZ-IR-07</t>
        </is>
      </c>
      <c r="B8" s="13" t="inlineStr">
        <is>
          <t>Post-incident activity - conduct lessons learned and retain evidence</t>
        </is>
      </c>
      <c r="C8" s="8" t="inlineStr">
        <is>
          <t xml:space="preserve">Conduct lessons learned in your organization periodically and/or after major incidents, to improve your future capability in incident response and handling.
Based on the nature of the incident, retain the evidence related to the incident for the period defined in the incident handling standard for further analysis or legal actions.
</t>
        </is>
      </c>
      <c r="D8" s="3" t="inlineStr">
        <is>
          <t xml:space="preserve">Use the outcome from the lessons learned activity to update your incident response plan, playbook (such as a Microsoft Sentinel playbook) and reincorporate findings into your environments (such as logging and threat detection to address any gaps in logging) to improve your future capability in detecting, responding, and handling of incidents in Azure.
Keep the evidence collected during the "Detection and analysis - investigate an incident step" such as system logs, network traffic dumps and running system snapshots in storage such as an Azure Storage account for immutable retention.
</t>
        </is>
      </c>
      <c r="E8" s="10" t="inlineStr">
        <is>
          <t>IR-7</t>
        </is>
      </c>
      <c r="F8" s="4" t="n">
        <v>17.8</v>
      </c>
      <c r="G8" s="3" t="inlineStr">
        <is>
          <t>IR-4</t>
        </is>
      </c>
      <c r="H8" s="12" t="n">
        <v>12.1</v>
      </c>
      <c r="I8" s="11" t="inlineStr">
        <is>
          <t>SEF-07, SEF-03</t>
        </is>
      </c>
      <c r="J8" s="68" t="inlineStr">
        <is>
          <t xml:space="preserve">1.	Are formal lessons-learned meetings conducted post-incident?
2.	Is the IR plan/playbooks updated as a result of those findings?
3.	Are forensic artifacts archived immutably?
4.	How are learnings fed back into detection logic (rules, hunting queries)?
5.	Is training updated for analysts after incidents?
</t>
        </is>
      </c>
      <c r="K8" s="69" t="inlineStr">
        <is>
          <t xml:space="preserve">1.	Post-mortem report (export PDF from ticketing/Confluence).
2.	Sentinel playbook change log ( az resource show .. ).
3.	Storage immutability policy ( az storage container immutability-policy show ).
4.	Updated Sentinel analytics rule JSON dated after the incident.
5.	SOC training records showing refreshed scenarios.
</t>
        </is>
      </c>
      <c r="L8" s="9" t="n">
        <v>5</v>
      </c>
      <c r="M8" s="9" t="n"/>
      <c r="N8" s="9" t="n"/>
      <c r="O8" s="1" t="n"/>
      <c r="P8" s="1" t="n"/>
      <c r="Q8" s="1" t="n"/>
    </row>
  </sheetData>
  <dataValidations count="1">
    <dataValidation sqref="N2:N8" showDropDown="0" showInputMessage="1" showErrorMessage="1" allowBlank="1" type="list">
      <formula1>"Complete,Partial,Non-Compliant"</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K1" sqref="K1:L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10"/>
    <col width="52.5703125" customWidth="1" style="74" min="11" max="11"/>
    <col width="38.28515625" customWidth="1" style="74" min="12" max="12"/>
    <col width="17.7109375" customWidth="1" min="13" max="13"/>
    <col width="25.28515625" customWidth="1" min="14" max="14"/>
    <col width="21" customWidth="1" min="15" max="15"/>
    <col width="27.5703125" customWidth="1" min="16" max="16"/>
    <col width="40.28515625" customWidth="1" min="17" max="17"/>
    <col width="49.5703125" customWidth="1" min="18" max="18"/>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 t="n"/>
      <c r="K1" s="67" t="inlineStr">
        <is>
          <t xml:space="preserve">Assessment Question </t>
        </is>
      </c>
      <c r="L1" s="67" t="inlineStr">
        <is>
          <t>Evidence to Collect</t>
        </is>
      </c>
      <c r="M1" s="6" t="inlineStr">
        <is>
          <t>Evidence Count</t>
        </is>
      </c>
      <c r="N1" s="6" t="inlineStr">
        <is>
          <t>Available Evidence Count</t>
        </is>
      </c>
      <c r="O1" s="6" t="inlineStr">
        <is>
          <t>Compliance Status</t>
        </is>
      </c>
      <c r="P1" s="6" t="inlineStr">
        <is>
          <t>Risk Severity (if non-compliant)</t>
        </is>
      </c>
      <c r="Q1" s="6" t="inlineStr">
        <is>
          <t xml:space="preserve">Implementation Gap </t>
        </is>
      </c>
      <c r="R1" s="6" t="inlineStr">
        <is>
          <t>Notes/Comments</t>
        </is>
      </c>
    </row>
    <row r="2" ht="259.5" customHeight="1">
      <c r="A2" s="9" t="inlineStr">
        <is>
          <t>CSF-AZ-PVM-01</t>
        </is>
      </c>
      <c r="B2" s="13" t="inlineStr">
        <is>
          <t>Define and establish secure configurations</t>
        </is>
      </c>
      <c r="C2" s="14" t="inlineStr">
        <is>
          <t xml:space="preserve"> Define the security configuration baselines for different resource types in the cloud. Alternatively, use configuration management tools to establish the configuration baseline automatically before or during resource deployment so the environment can be compliant by default after the deployment.</t>
        </is>
      </c>
      <c r="D2" s="3" t="inlineStr">
        <is>
          <t>Use the Microsoft Cloud Security Benchmark and service baseline to define your configuration baseline for each respective Azure offering or service. Refer to the Azure reference architecture and Cloud Adoption Framework landing zone architecture to understand the critical security controls and configurations that may be needed across Azure resources.
Use Azure landing zone (and Blueprints) to accelerate the workload deployment by setting up configuration of services and application environments, including Azure Resource Manager templates, Azure RBAC controls, and Azure Policy.</t>
        </is>
      </c>
      <c r="E2" s="10" t="inlineStr">
        <is>
          <t>PV-1</t>
        </is>
      </c>
      <c r="F2" s="4" t="inlineStr">
        <is>
          <t>4.1, 4.2</t>
        </is>
      </c>
      <c r="G2" s="3" t="inlineStr">
        <is>
          <t>CM-2, CM-6</t>
        </is>
      </c>
      <c r="H2" s="12" t="n">
        <v>1.1</v>
      </c>
      <c r="I2" s="11" t="inlineStr">
        <is>
          <t>CCC-02</t>
        </is>
      </c>
      <c r="J2" s="27" t="n"/>
      <c r="K2" s="68" t="inlineStr">
        <is>
          <t xml:space="preserve">1. Are secure configuration baselines defined for all Azure resources (laaS/PaaS/SaaS)?
2. Are baselines aligned with Microsoft Cloud Security Benchmark (MCSB) and service-specific
baselines?
3. Are Azure Landing Zones, Blueprints, or ARM templates used to enforce these baselines?
</t>
        </is>
      </c>
      <c r="L2" s="69" t="inlineStr">
        <is>
          <t>1.	Export of Azure Policy definitions/assignments ( az policy definition list, az policy
assignment list ).
2.	Azure Blueprints deployment logs or JSON definitions.
3.	ARM/Bicep template files in source control.</t>
        </is>
      </c>
      <c r="M2" s="9" t="n">
        <v>3</v>
      </c>
      <c r="N2" s="9" t="n"/>
      <c r="O2" s="9" t="n"/>
      <c r="P2" s="1" t="n"/>
      <c r="Q2" s="1" t="n"/>
      <c r="R2" s="1" t="n"/>
    </row>
    <row r="3" ht="294" customHeight="1">
      <c r="A3" s="9" t="inlineStr">
        <is>
          <t>CSF-AZ-PVM-02</t>
        </is>
      </c>
      <c r="B3" s="16" t="inlineStr">
        <is>
          <t xml:space="preserve">Audit and enforce secure configurations
</t>
        </is>
      </c>
      <c r="C3" s="8" t="inlineStr">
        <is>
          <t xml:space="preserve">Continuously monitor and alert when there is a deviation from the defined configuration baseline. Enforce the desired configuration according to the baseline configuration by denying the non-compliant configuration or deploying a configuration.
</t>
        </is>
      </c>
      <c r="D3" s="3" t="inlineStr">
        <is>
          <t xml:space="preserve"> Use Microsoft Defender for Cloud to configure Azure Policy to audit and enforce configurations of your Azure resources. Use Azure Monitor to create alerts when there is a configuration deviation detected on the resources.
Use Azure Policy [deny] and [deploy if not exist] rules to enforce secure configuration across Azure resources.
For resource configuration audit and enforcement not supported by Azure Policy, you may need to write custom scripts or use third-party tooling to implement the configuration audit and enforcement.</t>
        </is>
      </c>
      <c r="E3" s="10" t="inlineStr">
        <is>
          <t>PV-2</t>
        </is>
      </c>
      <c r="F3" s="4" t="inlineStr">
        <is>
          <t>4.1, 4.2</t>
        </is>
      </c>
      <c r="G3" s="3" t="inlineStr">
        <is>
          <t>CM-2, CM-6</t>
        </is>
      </c>
      <c r="H3" s="12" t="n">
        <v>2.2</v>
      </c>
      <c r="I3" s="11" t="inlineStr">
        <is>
          <t>CCC-03</t>
        </is>
      </c>
      <c r="J3" s="27" t="n"/>
      <c r="K3" s="68" t="inlineStr">
        <is>
          <t xml:space="preserve">Are Azure Policy compliance scans running on all subscriptions and management groups?
2. Are [deny] and [deploylfNotExists] effects enforced for critical policies (e.g., disallow public
IPs)?
3. Are compliance drifts generating alerts in Microsoft Defender for Cloud or Azure Monitor?
4. Are unsupported resource types handled with custom scripts or third-party tools?
</t>
        </is>
      </c>
      <c r="L3" s="69" t="inlineStr">
        <is>
          <t>1.	Azure Policy compliance results ( az policy state list or Defender for Cloud Compliance
blade).
2.	Azure Activity Logs showing automatic remediation events.
3.	Azure Monitor alert rules ( az monitor metrics alert list ).
4.	Defender for Cloud recommendations export ( az security assessment list ).</t>
        </is>
      </c>
      <c r="M3" s="9" t="n">
        <v>4</v>
      </c>
      <c r="N3" s="9" t="n"/>
      <c r="O3" s="9" t="n"/>
      <c r="P3" s="1" t="n"/>
      <c r="Q3" s="1" t="n"/>
      <c r="R3" s="1" t="n"/>
    </row>
    <row r="4" ht="294" customHeight="1">
      <c r="A4" s="9" t="inlineStr">
        <is>
          <t>CSF-AZ-PVM-03</t>
        </is>
      </c>
      <c r="B4" s="3" t="inlineStr">
        <is>
          <t>Define and establish secure configurations for compute resources</t>
        </is>
      </c>
      <c r="C4" s="13" t="inlineStr">
        <is>
          <t>Define the secure configuration baselines for your compute resources, such as VMs and containers. Use configuration management tools to establish the configuration baseline automatically before or during the compute resource deployment so the environment can be compliant by default after the deployment. Alternatively, use a pre-configured image to build the desired configuration baseline into the compute resource image template.</t>
        </is>
      </c>
      <c r="D4" s="3" t="inlineStr">
        <is>
          <t>Use Azure recommended operating system security baselines (for both Windows and Linux) as a benchmark to define your compute resource configuration baseline.
Additionally, you can use a custom VM image (using Azure Image Builder) or container image with Azure Automanage Machine Configuration (formerly called Azure Policy Guest Configuration) and Azure Automation State Configuration to establish the desired security configuration.</t>
        </is>
      </c>
      <c r="E4" s="10" t="inlineStr">
        <is>
          <t>PV-3</t>
        </is>
      </c>
      <c r="F4" s="4" t="n">
        <v>4.1</v>
      </c>
      <c r="G4" s="3" t="inlineStr">
        <is>
          <t>CM-2, CM-6</t>
        </is>
      </c>
      <c r="H4" s="12" t="n">
        <v>2.2</v>
      </c>
      <c r="I4" s="11" t="inlineStr">
        <is>
          <t>IVS-08</t>
        </is>
      </c>
      <c r="J4" s="27" t="n"/>
      <c r="K4" s="68" t="inlineStr">
        <is>
          <t xml:space="preserve">1. Are OS security baselines (Windows/Linux) applied to VMs using Microsoft Security
Baselines?
2. Are custom hardened images built with Azure Image Builder or Packer?
3. Are container images configured with CIS/Microsoft benchmarks before deployment?
4. Are baseline images stored in a controlled Azure Compute Gallery?
</t>
        </is>
      </c>
      <c r="L4" s="69" t="inlineStr">
        <is>
          <t>1.	Microsoft Security Baseline compliance reports from Defender for Cloud (VM assessment
logs).
2.	Image Builder JSON templates ( az image builder build list ).
3.	Container registry scan results from Defender for Cloud ( az security assessment-metadata
list -- query "containerVulnerability" ).
4.	Azure Compute Gallery image version list ( az sig image-version list ).</t>
        </is>
      </c>
      <c r="M4" s="9" t="n">
        <v>4</v>
      </c>
      <c r="N4" s="9" t="n"/>
      <c r="O4" s="9" t="n"/>
      <c r="P4" s="1" t="n"/>
      <c r="Q4" s="1" t="n"/>
      <c r="R4" s="1" t="n"/>
    </row>
    <row r="5" ht="222" customHeight="1">
      <c r="A5" s="9" t="inlineStr">
        <is>
          <t>CSF-AZ-PVM-04</t>
        </is>
      </c>
      <c r="B5" s="17" t="inlineStr">
        <is>
          <t>Audit and enforce secure configurations for compute resources</t>
        </is>
      </c>
      <c r="C5" s="8" t="inlineStr">
        <is>
          <t xml:space="preserve">Continuously monitor and alert when there is a deviation from the defined configuration baseline in your compute resources. Enforce the desired configuration according to the baseline configuration by denying the non-compliant configuration or deploying a configuration in compute resources.
</t>
        </is>
      </c>
      <c r="D5" s="3" t="inlineStr">
        <is>
          <t>Use Microsoft Defender for Cloud and Azure Automanage Machine Configuration (formerly called Azure Policy Guest Configuration) to regularly assess and remediate configuration deviations on your Azure compute resources, including VMs, containers, and others. In addition, you can use Azure Resource Manager templates, custom operating system images, or Azure Automation State Configuration to maintain the security configuration of the operating system. Microsoft VM templates in conjunction with Azure Automation State Configuration can assist in meeting and maintaining security requirements. Use Change Tracking and Inventory in Azure Automation to track changes in virtual machines hosted in Azure, on-premises, and other cloud environments to help you pinpoint operational and environmental issues with software managed by the Distribution Package Manager. Install the Guest Attestation agent on virtual machines to monitor for boot integrity on confidential virtual machines.</t>
        </is>
      </c>
      <c r="E5" s="10" t="inlineStr">
        <is>
          <t>PV-4</t>
        </is>
      </c>
      <c r="F5" s="4" t="n">
        <v>4.1</v>
      </c>
      <c r="G5" s="3" t="inlineStr">
        <is>
          <t>CM-2, CM-6</t>
        </is>
      </c>
      <c r="H5" s="12" t="n">
        <v>2.2</v>
      </c>
      <c r="I5" s="11" t="inlineStr">
        <is>
          <t>TVM-07</t>
        </is>
      </c>
      <c r="J5" s="27" t="n"/>
      <c r="K5" s="68" t="inlineStr">
        <is>
          <t xml:space="preserve">1. Are VM configurations continuously monitored with Azure Policy Guest Configuration /
Automanage?
2. Are deviations from OS baselines flagged and auto-remediated?
3. Are unauthorized VM changes tracked with Azure Automation Change Tracking?
4. Are container images rescanned periodically for vulnerabilities?
</t>
        </is>
      </c>
      <c r="L5" s="69" t="inlineStr">
        <is>
          <t xml:space="preserve">1.	Azure Policy Guest Configuration compliance logs ( az policy state list -- filter
"resourceType eq 'Microsoft.GuestConfiguration'" ).
2.	Automanage compliance reports ( az automanage configuration-profile-assignment list ).
3.	Azure Automation Change Tracking &amp; Inventory logs (Log Analytics query results).
4.	Azure Container Registry vulnerability scan logs ( az acr repository show-manifests -- detail ).
</t>
        </is>
      </c>
      <c r="M5" s="9" t="n">
        <v>4</v>
      </c>
      <c r="N5" s="9" t="n"/>
      <c r="O5" s="9" t="n"/>
      <c r="P5" s="1" t="n"/>
      <c r="Q5" s="1" t="n"/>
      <c r="R5" s="1" t="n"/>
    </row>
    <row r="6" ht="270" customHeight="1">
      <c r="A6" s="9" t="inlineStr">
        <is>
          <t>CSF-AZ-PVM-05</t>
        </is>
      </c>
      <c r="B6" s="13" t="inlineStr">
        <is>
          <t>Perform vulnerability assessments</t>
        </is>
      </c>
      <c r="C6" s="8" t="inlineStr">
        <is>
          <t>Perform vulnerabilities assessment for your cloud resources at all tiers in a fixed schedule or on-demand. Track and compare the scan results to verify the vulnerabilities are remediated. The assessment should include all types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is>
      </c>
      <c r="D6" s="3" t="inlineStr">
        <is>
          <t xml:space="preserve"> Follow recommendations from Microsoft Defender for Cloud for performing vulnerability assessments on your Azure virtual machines, container images, and SQL servers. Microsoft Defender for Cloud has a built-in vulnerability scanner for virtual machines. Use a third-party solution for performing vulnerability assessments on network devices and applications (e.g., web applications)
Export scan results at consistent intervals and compare the results with previous scans to verify that vulnerabilities have been remediated. When using vulnerability management recommendations suggested by Microsoft Defender for Cloud, you can pivot into the selected scan solution's portal to view historical scan data.
When conducting remote scans, do not use a single, perpetual, administrative account. Consider implementing JIT (Just In Time) provisioning methodology for the scan account. Credentials for the scan account should be protected, monitored, and used only for vulnerability scanning.
Note: Microsoft Defender services (including Defender for servers, containers, App Service, Database, and DNS) embed certain vulnerability assessment capabilities. The alerts generated from Azure Defender services should be monitored and reviewed together with the result from Microsoft Defender for Cloud vulnerability scanning tool.</t>
        </is>
      </c>
      <c r="E6" s="10" t="inlineStr">
        <is>
          <t>PV-5</t>
        </is>
      </c>
      <c r="F6" s="4" t="inlineStr">
        <is>
          <t>5.5, 7.1, 7.5, 7.6</t>
        </is>
      </c>
      <c r="G6" s="3" t="inlineStr">
        <is>
          <t>RA-3, RA-5</t>
        </is>
      </c>
      <c r="H6" s="12" t="inlineStr">
        <is>
          <t>6.1, 6.2, 6.6</t>
        </is>
      </c>
      <c r="I6" s="11" t="inlineStr">
        <is>
          <t>TVM-06</t>
        </is>
      </c>
      <c r="J6" s="27" t="n"/>
      <c r="K6" s="68" t="inlineStr">
        <is>
          <t>1. Are Azure VMs configured to receive automatic security/OS updates (Windows Update,
Linux Update Management)?
2. Are patch cycles defined and enforced across all compute resources?
3. Are critical security patches deployed within SLA timelines?
4. Are update statuses centrally monitored through Defender for Cloud or Azure Update
Management?</t>
        </is>
      </c>
      <c r="L6" s="69" t="inlineStr">
        <is>
          <t>1.	Update Compliance logs via Azure Automation Update Management (Log Analytics
workspace query).
2.	Defender for Cloud "Machines should have the latest security updates installed"
assessment results ( az security assessment list ).
3.	Windows/Linux VM update status ( Get-WUHistory on Windows, yum history list / apt list
-- upgradable on Linux).
4.	Azure Update Management job run reports ( az automation software-update-configuration list ).</t>
        </is>
      </c>
      <c r="M6" s="9" t="n">
        <v>4</v>
      </c>
      <c r="N6" s="9" t="n"/>
      <c r="O6" s="9" t="n"/>
      <c r="P6" s="1" t="n"/>
      <c r="Q6" s="1" t="n"/>
      <c r="R6" s="1" t="n"/>
    </row>
    <row r="7" ht="230.25" customHeight="1">
      <c r="A7" s="9" t="inlineStr">
        <is>
          <t>CSF-AZ-PVM-06</t>
        </is>
      </c>
      <c r="B7" s="13" t="inlineStr">
        <is>
          <t>Rapidly and automatically remediate vulnerabilities</t>
        </is>
      </c>
      <c r="C7" s="8" t="inlineStr">
        <is>
          <t>Rapidly and automatically deploy patches and updates to remediate vulnerabilities in your cloud resources. Use the appropriate risk-based approach to prioritize the remediation of vulnerabilities. For example, more severe vulnerabilities in a higher value asset should be addressed as a higher priority.</t>
        </is>
      </c>
      <c r="D7" s="3" t="inlineStr">
        <is>
          <t>Use Azure Automation Update Management or a third-party solution to ensure that the most recent security updates are installed on your Windows and Linux VMs. For Windows VMs, ensure Windows Update has been enabled and set to update automatically.
For third-party software, use a third-party patch management solution or Microsoft System Center Updates Publisher for Configuration Manager.</t>
        </is>
      </c>
      <c r="E7" s="10" t="inlineStr">
        <is>
          <t>PV-6</t>
        </is>
      </c>
      <c r="F7" s="4" t="inlineStr">
        <is>
          <t>7.2, 7.3, 7.4, 7.7</t>
        </is>
      </c>
      <c r="G7" s="3" t="inlineStr">
        <is>
          <t>RA-3, RA-5, SI-2: FLAW REMEDIATION</t>
        </is>
      </c>
      <c r="H7" s="12" t="inlineStr">
        <is>
          <t>6.1, 6.2, 6.5, 11.2</t>
        </is>
      </c>
      <c r="I7" s="11" t="inlineStr">
        <is>
          <t>TVM-07</t>
        </is>
      </c>
      <c r="J7" s="27" t="n"/>
      <c r="K7" s="68" t="inlineStr">
        <is>
          <t xml:space="preserve">1. Are vulnerability assessments enabled on all supported Azure VMs, databases, and containers?
2. Are vulnerability scan results integrated into Defender for Cloud for central visibility?
3. Are container images scanned in Azure Container Registry before deployment?
4. Are scan results exported and reviewed periodically for remediation prioritization?
</t>
        </is>
      </c>
      <c r="L7" s="69" t="inlineStr">
        <is>
          <t>1.	Azure Container Registry vulnerability scan results ( az acr repository show-manifests --
detail -- repository &lt;repo&gt; ).
2.	Defender for Cloud recommendation export ( az security assessment list -- resource-group
&lt;rg&gt;).
3.	Defender for Cloud VM vulnerability assessment results ( az security assessment-metadata
list -- query "vmVulnerability" ).
4.	SQL/Database vulnerability assessment export ( az sql db vulnerability-assessment-scan show ).</t>
        </is>
      </c>
      <c r="M7" s="9" t="n">
        <v>4</v>
      </c>
      <c r="N7" s="9" t="n"/>
      <c r="O7" s="9" t="n"/>
      <c r="P7" s="1" t="n"/>
      <c r="Q7" s="1" t="n"/>
      <c r="R7" s="1" t="n"/>
    </row>
    <row r="8" ht="200.25" customHeight="1">
      <c r="A8" s="9" t="inlineStr">
        <is>
          <t>CSF-AZ-PVM-07</t>
        </is>
      </c>
      <c r="B8" s="16" t="inlineStr">
        <is>
          <t xml:space="preserve">Conduct regular red team operations
</t>
        </is>
      </c>
      <c r="C8" s="21" t="inlineStr">
        <is>
          <t xml:space="preserve">Simulate real-world attacks to provide a more complete view of your organization's vulnerability. Red team operations and penetration testing complement the traditional vulnerability scanning approach to discover risks.
Follow industry best practices to design, prepare and conduct this kind of testing to ensure it will not cause damage or disruption to your environment. This should always include discussing testing scope and constraints with relevant stakeholders and resource owners.
</t>
        </is>
      </c>
      <c r="D8" s="22" t="inlineStr">
        <is>
          <t>As required, conduct penetration testing or red team activities on your Azure resources and ensure remediation of all critical security findings.
Follow the Microsoft Cloud Penetration Testing Rules of Engagement to ensure your penetration tests are not in violation of Microsoft policies. Use Microsoft's strategy and execution of Red Teaming and live site penetration testing against Microsoft-managed cloud infrastructure, services, and applications.</t>
        </is>
      </c>
      <c r="E8" s="32" t="inlineStr">
        <is>
          <t>PV-7</t>
        </is>
      </c>
      <c r="F8" s="23" t="inlineStr">
        <is>
          <t>18.1, 18.2, 18.3, 18.4, 18.5</t>
        </is>
      </c>
      <c r="G8" s="22" t="inlineStr">
        <is>
          <t>CA-8, RA-5</t>
        </is>
      </c>
      <c r="H8" s="24" t="inlineStr">
        <is>
          <t>6.6, 11.2, 11.3</t>
        </is>
      </c>
      <c r="I8" s="28" t="inlineStr">
        <is>
          <t>TVM-08</t>
        </is>
      </c>
      <c r="J8" s="29" t="n"/>
      <c r="K8" s="70" t="inlineStr">
        <is>
          <t>1. Is there an automated remediation process (via Azure Automation, Logic Apps, or Defender for Cloud workflow automation) for critical vulnerabilities?
2. Are vulnerabilities risk-scored and prioritized for remediation based on CVSS/Defender recommendations?
3. Is remediation status tracked across subscriptions and reported to security teams?
4. Are exceptions or deferred patches documented with compensating controls?</t>
        </is>
      </c>
      <c r="L8" s="71" t="inlineStr">
        <is>
          <t>1. Defender for Cloud "Vulnerabilities in your virtual machines should be remediated" report.
2. Azure Automation remediation runbook logs (job execution logs).
3. Change tracking logs from Defender for Cloud (showing patched vs. unpatched).
4. Log Analytics queries showing open vs. closed vulnerabilities over time.</t>
        </is>
      </c>
      <c r="M8" s="20" t="n">
        <v>4</v>
      </c>
      <c r="N8" s="20" t="n"/>
      <c r="O8" s="20" t="n"/>
      <c r="P8" s="25" t="n"/>
      <c r="Q8" s="25" t="n"/>
      <c r="R8" s="25" t="n"/>
    </row>
    <row r="9" ht="30" customHeight="1">
      <c r="A9" s="15" t="inlineStr">
        <is>
          <t>CSF-AZ-PVM-08</t>
        </is>
      </c>
      <c r="B9" s="19" t="inlineStr">
        <is>
          <t>Most deployments are organized in a hierarchy</t>
        </is>
      </c>
      <c r="C9" s="19" t="inlineStr">
        <is>
          <t xml:space="preserve">Deployments are part of an organization/tenant but may not be organized into a structured hierarchy. </t>
        </is>
      </c>
      <c r="D9" s="12" t="inlineStr">
        <is>
          <t>Most Azure subscriptions are managed within a single tenant (not multiple tenants)</t>
        </is>
      </c>
      <c r="E9" s="4" t="n"/>
      <c r="F9" s="1" t="n"/>
      <c r="G9" s="19" t="n"/>
      <c r="H9" s="19" t="n"/>
      <c r="I9" s="1" t="n"/>
      <c r="J9" s="33" t="inlineStr">
        <is>
          <t>ORM-02.1</t>
        </is>
      </c>
      <c r="K9" s="73" t="inlineStr">
        <is>
          <t>Is the organization currently following the Azure Guidance ?</t>
        </is>
      </c>
      <c r="L9" s="73" t="inlineStr">
        <is>
          <t>Confirmation of the Assessment question</t>
        </is>
      </c>
      <c r="M9" s="9" t="n">
        <v>1</v>
      </c>
      <c r="N9" s="1" t="n"/>
      <c r="O9" s="1" t="n"/>
      <c r="P9" s="1" t="n"/>
      <c r="Q9" s="1" t="n"/>
      <c r="R9" s="1" t="n"/>
    </row>
    <row r="10" ht="90" customHeight="1">
      <c r="A10" s="15" t="inlineStr">
        <is>
          <t>CSF-AZ-PVM-09</t>
        </is>
      </c>
      <c r="B10" s="19" t="inlineStr">
        <is>
          <t>CSPM implemented and actively used</t>
        </is>
      </c>
      <c r="C10" s="19" t="inlineStr">
        <is>
          <t>A cloud security posture management tool is used to monitor for misconfigurations in cloud deployments. 
This control can be automated by either detecting another CSPM is in use or when the CSPM itself is performing the control assessment.</t>
        </is>
      </c>
      <c r="D10" s="12" t="inlineStr">
        <is>
          <t>Pass if Defender for Cloud is in use at the tenant level with Security Standards enabled</t>
        </is>
      </c>
      <c r="E10" s="4" t="n"/>
      <c r="F10" s="1" t="n"/>
      <c r="G10" s="19" t="n"/>
      <c r="H10" s="19" t="n"/>
      <c r="I10" s="1" t="n"/>
      <c r="J10" s="33" t="inlineStr">
        <is>
          <t>ORM-03.1</t>
        </is>
      </c>
      <c r="K10" s="73" t="inlineStr">
        <is>
          <t>Is the organization currently following the Azure Guidance ?</t>
        </is>
      </c>
      <c r="L10" s="73" t="inlineStr">
        <is>
          <t>Confirmation of the Assessment question</t>
        </is>
      </c>
      <c r="M10" s="9" t="n">
        <v>1</v>
      </c>
      <c r="N10" s="1" t="n"/>
      <c r="O10" s="1" t="n"/>
      <c r="P10" s="1" t="n"/>
      <c r="Q10" s="1" t="n"/>
      <c r="R10" s="1" t="n"/>
    </row>
    <row r="11" ht="150" customHeight="1">
      <c r="A11" s="15" t="inlineStr">
        <is>
          <t>CSF-AZ-PVM-10</t>
        </is>
      </c>
      <c r="B11" s="19" t="inlineStr">
        <is>
          <t>Cloud service provider preventive policies are in use</t>
        </is>
      </c>
      <c r="C11" s="19" t="inlineStr">
        <is>
          <t>CSP preventive policies (AWS Service Control Policies, Azure Policies with deny rules, GCP policies) are in use and applied at the root of the hierarchy and to individual org units (OUs)/management groups (MGs)/folders.
Using policies at multiple levels of the hierarchy doesn't necessarily indicate all the right policies are in place, but they are a good key indicator that a strategy exists and is being implemented.</t>
        </is>
      </c>
      <c r="D11" s="12" t="inlineStr">
        <is>
          <t>At least one policy with deny statements is applied at the root management group. At least two other policies with deny statements are applied to two or more other MGs.</t>
        </is>
      </c>
      <c r="E11" s="4" t="n"/>
      <c r="F11" s="1" t="n"/>
      <c r="G11" s="19" t="n"/>
      <c r="H11" s="19" t="n"/>
      <c r="I11" s="1" t="n"/>
      <c r="J11" s="33" t="inlineStr">
        <is>
          <t>ORM-03.2</t>
        </is>
      </c>
      <c r="K11" s="73" t="inlineStr">
        <is>
          <t>Is the organization currently following the Azure Guidance ?</t>
        </is>
      </c>
      <c r="L11" s="73" t="inlineStr">
        <is>
          <t>Confirmation of the Assessment question</t>
        </is>
      </c>
      <c r="M11" s="9" t="n">
        <v>1</v>
      </c>
      <c r="N11" s="1" t="n"/>
      <c r="O11" s="1" t="n"/>
      <c r="P11" s="1" t="n"/>
      <c r="Q11" s="1" t="n"/>
      <c r="R11" s="1" t="n"/>
    </row>
    <row r="12" ht="135" customHeight="1">
      <c r="A12" s="15" t="inlineStr">
        <is>
          <t>CSF-AZ-PVM-11</t>
        </is>
      </c>
      <c r="B12" s="19" t="inlineStr">
        <is>
          <t xml:space="preserve">Deployments used to manage blast radius </t>
        </is>
      </c>
      <c r="C12" s="19" t="inlineStr">
        <is>
          <t xml:space="preserve">Multiple deployments (accounts/subscriptions/topics) are used within a hierarchical structure (multiple OUs/MGs/folders) to reduce the impact of security issues within any single deployment.
For example, AWS accounts are in OUs, Azure subscriptions are in MGs and GCP Projects are in folders. </t>
        </is>
      </c>
      <c r="D12" s="12" t="inlineStr">
        <is>
          <t>More than three non-root MGs exist and &gt;90% of subscriptions are in non-root Management Groups</t>
        </is>
      </c>
      <c r="E12" s="4" t="n"/>
      <c r="F12" s="1" t="n"/>
      <c r="G12" s="19" t="n"/>
      <c r="H12" s="19" t="n"/>
      <c r="I12" s="1" t="n"/>
      <c r="J12" s="33" t="inlineStr">
        <is>
          <t>ORM-04.1</t>
        </is>
      </c>
      <c r="K12" s="73" t="inlineStr">
        <is>
          <t>Is the organization currently following the Azure Guidance ?</t>
        </is>
      </c>
      <c r="L12" s="73" t="inlineStr">
        <is>
          <t>Confirmation of the Assessment question</t>
        </is>
      </c>
      <c r="M12" s="9" t="n">
        <v>1</v>
      </c>
      <c r="N12" s="1" t="n"/>
      <c r="O12" s="1" t="n"/>
      <c r="P12" s="1" t="n"/>
      <c r="Q12" s="1" t="n"/>
      <c r="R12" s="1" t="n"/>
    </row>
    <row r="13" ht="60" customHeight="1">
      <c r="A13" s="15" t="inlineStr">
        <is>
          <t>CSF-AZ-PVM-12</t>
        </is>
      </c>
      <c r="B13" s="19" t="inlineStr">
        <is>
          <t>Cloud Service Provider preventive policies are consistently used</t>
        </is>
      </c>
      <c r="C13" s="19" t="inlineStr">
        <is>
          <t>CSP preventive policies (AWS Service Control Policies, Azure Policies with deny rules, GCP policies) are in use and applied at the root of the hierarchy and to all individual OUs/MGs/folders.</t>
        </is>
      </c>
      <c r="D13" s="12" t="inlineStr">
        <is>
          <t>At least one policy with deny statements is applied at the root management group. At least one other policy with deny statements is applied to all other MGs</t>
        </is>
      </c>
      <c r="E13" s="4" t="n"/>
      <c r="F13" s="1" t="n"/>
      <c r="G13" s="19" t="n"/>
      <c r="H13" s="19" t="n"/>
      <c r="I13" s="1" t="n"/>
      <c r="J13" s="33" t="inlineStr">
        <is>
          <t>ORM-04.2</t>
        </is>
      </c>
      <c r="K13" s="73" t="inlineStr">
        <is>
          <t>Is the organization currently following the Azure Guidance ?</t>
        </is>
      </c>
      <c r="L13" s="73" t="inlineStr">
        <is>
          <t>Confirmation of the Assessment question</t>
        </is>
      </c>
      <c r="M13" s="9" t="n">
        <v>1</v>
      </c>
      <c r="N13" s="1" t="n"/>
      <c r="O13" s="1" t="n"/>
      <c r="P13" s="1" t="n"/>
      <c r="Q13" s="1" t="n"/>
      <c r="R13" s="1" t="n"/>
    </row>
  </sheetData>
  <dataValidations count="1">
    <dataValidation sqref="O2:O8" showDropDown="0" showInputMessage="1" showErrorMessage="1" allowBlank="1" type="list">
      <formula1>"Complete,Partial,Non-Compliant"</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38.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7" t="inlineStr">
        <is>
          <t xml:space="preserve">Assessment Question </t>
        </is>
      </c>
      <c r="K1" s="67" t="inlineStr">
        <is>
          <t>Evidence to Collect</t>
        </is>
      </c>
      <c r="L1" s="6" t="inlineStr">
        <is>
          <t>Evidence Count</t>
        </is>
      </c>
      <c r="M1" s="6" t="inlineStr">
        <is>
          <t>Available Evidence Count</t>
        </is>
      </c>
      <c r="N1" s="6" t="inlineStr">
        <is>
          <t>Compliance Status</t>
        </is>
      </c>
      <c r="O1" s="6" t="inlineStr">
        <is>
          <t>Risk Severity (if non-compliant)</t>
        </is>
      </c>
      <c r="P1" s="6" t="inlineStr">
        <is>
          <t xml:space="preserve">Implementation Gap </t>
        </is>
      </c>
      <c r="Q1" s="6" t="inlineStr">
        <is>
          <t>Notes/Comments</t>
        </is>
      </c>
    </row>
    <row r="2" ht="259.5" customHeight="1">
      <c r="A2" s="9" t="inlineStr">
        <is>
          <t>CSF-AZ-EPS-01</t>
        </is>
      </c>
      <c r="B2" s="13" t="inlineStr">
        <is>
          <t>Use Endpoint Detection and Response (EDR)</t>
        </is>
      </c>
      <c r="C2" s="14" t="inlineStr">
        <is>
          <t xml:space="preserve"> Enable Endpoint Detection and Response (EDR) capabilities for VMs and integrate with SIEM and security operations processes.</t>
        </is>
      </c>
      <c r="D2" s="3" t="inlineStr">
        <is>
          <t>Microsoft Defender for servers (with Microsoft Defender for Endpoint integrated) provides EDR capability to prevent, detect, investigate, and respond to advanced threats.
Use Microsoft Defender for Cloud to deploy Microsoft Defender for servers on your endpoints and integrate the alerts to your SIEM solution such as Microsoft Sentinel.</t>
        </is>
      </c>
      <c r="E2" s="10" t="inlineStr">
        <is>
          <t>ES-1</t>
        </is>
      </c>
      <c r="F2" s="4" t="n">
        <v>3.7</v>
      </c>
      <c r="G2" s="3" t="inlineStr">
        <is>
          <t>SC-3, SI-2, SI-3, SI-16</t>
        </is>
      </c>
      <c r="H2" s="12" t="n">
        <v>11.5</v>
      </c>
      <c r="I2" s="11" t="inlineStr">
        <is>
          <t>UEM-04</t>
        </is>
      </c>
      <c r="J2" s="68" t="inlineStr">
        <is>
          <t>1. Are all Azure VMs onboarded to Microsoft Defender for Servers (with Defender for Endpoint)?
2. Are EDR alerts integrated into Microsoft Sentinel or SIEM for investigation?
3. Is coverage monitored to ensure no VM or server is excluded from EDR deployment?</t>
        </is>
      </c>
      <c r="K2" s="69" t="inlineStr">
        <is>
          <t>1. Defender for Cloud "EDR coverage" compliance report ( az security assessment list -- query "[?name == 'microsoft.security/edrMonitoring']" ).
2. List of onboarded machines in Microsoft Defender for Endpoint ( Get-MpComputerStatus or Defender API export).
3. Microsoft Sentinel connector configuration logs showing Defender for Endpoint integration.</t>
        </is>
      </c>
      <c r="L2" s="9" t="n">
        <v>3</v>
      </c>
      <c r="M2" s="9" t="n"/>
      <c r="N2" s="9" t="n"/>
      <c r="O2" s="1" t="n"/>
      <c r="P2" s="1" t="n"/>
      <c r="Q2" s="1" t="n"/>
    </row>
    <row r="3" ht="294" customHeight="1">
      <c r="A3" s="9" t="inlineStr">
        <is>
          <t>CSF-AZ-EPS-02</t>
        </is>
      </c>
      <c r="B3" s="16" t="inlineStr">
        <is>
          <t>Use modern anti-malware software</t>
        </is>
      </c>
      <c r="C3" s="8" t="inlineStr">
        <is>
          <t xml:space="preserve">Use anti-malware solutions (also known as endpoint protection) capable of real-time protection and periodic scanning.
</t>
        </is>
      </c>
      <c r="D3" s="3" t="inlineStr">
        <is>
          <t xml:space="preserve"> Microsoft Defender for Cloud can automatically identify the use of a number of popular anti-malware solutions for your virtual machines and on-premises machines with Azure Arc configured and report the endpoint protection running status and make recommendations.
Microsoft Defender Antivirus is the default anti-malware solution for Windows server 2016 and above. For Windows server 2012 R2, use Microsoft Antimalware extension to enable SCEP (System Center Endpoint Protection). For Linux VMs, use Microsoft Defender for Endpoint on Linux for the endpoint protection feature.
For both Windows and Linux, you can use Microsoft Defender for Cloud to discover and assess the health status of the anti-malware solution.</t>
        </is>
      </c>
      <c r="E3" s="10" t="inlineStr">
        <is>
          <t>ES-2</t>
        </is>
      </c>
      <c r="F3" s="4" t="n">
        <v>10.1</v>
      </c>
      <c r="G3" s="3" t="inlineStr">
        <is>
          <t>SC-3, SI-2, SI-3, SI-16</t>
        </is>
      </c>
      <c r="H3" s="12" t="n">
        <v>5.1</v>
      </c>
      <c r="I3" s="11" t="inlineStr">
        <is>
          <t>UEM-01</t>
        </is>
      </c>
      <c r="J3" s="68" t="inlineStr">
        <is>
          <t>1. Is Microsoft Defender Antivirus (Windows) or Defender for Endpoint (Linux) enabled on all VMs?
2. Are third-party anti-malware solutions detected and health-monitored in Defender for Cloud?
3. Are periodic scans and real-time protection enabled across all workloads?</t>
        </is>
      </c>
      <c r="K3" s="69" t="inlineStr">
        <is>
          <t>1. Defender for Cloud "Endpoint Protection Not Installed/Not Healthy" recommendations ( az security assessment-metadata list -- query "[?contains(name, 'endpoint')]" ).
2. VM extension status for Microsoft Antimalware ( az vm extension list -- name IaaS Antimalware ).
3. Anti-malware health logs from Log Analytics workspace ( Heartbeat | where Solution contains "Antimalware" ).</t>
        </is>
      </c>
      <c r="L3" s="9" t="n">
        <v>3</v>
      </c>
      <c r="M3" s="9" t="n"/>
      <c r="N3" s="9" t="n"/>
      <c r="O3" s="1" t="n"/>
      <c r="P3" s="1" t="n"/>
      <c r="Q3" s="1" t="n"/>
    </row>
    <row r="4" ht="294" customHeight="1">
      <c r="A4" s="9" t="inlineStr">
        <is>
          <t>CSF-AZ-EPS-03</t>
        </is>
      </c>
      <c r="B4" s="3" t="inlineStr">
        <is>
          <t>Ensure anti-malware software and signatures are updated</t>
        </is>
      </c>
      <c r="C4" s="13" t="inlineStr">
        <is>
          <t xml:space="preserve">Ensure anti-malware signatures are updated rapidly and consistently for the anti-malware solution.
</t>
        </is>
      </c>
      <c r="D4" s="3" t="inlineStr">
        <is>
          <t>Follow recommendations in Microsoft Defender for Cloud to keep all endpoints up to date with the latest signatures. Microsoft Antimalware (for Windows) and Microsoft Defender for Endpoint (for Linux) will automatically install the latest signatures and engine updates by default.
For third-party solutions, ensure the signatures are updated in the third-party anti-malware solution.</t>
        </is>
      </c>
      <c r="E4" s="10" t="inlineStr">
        <is>
          <t>ES-3</t>
        </is>
      </c>
      <c r="F4" s="4" t="n">
        <v>10.2</v>
      </c>
      <c r="G4" s="3" t="inlineStr">
        <is>
          <t>SI-2, SI-3</t>
        </is>
      </c>
      <c r="H4" s="12" t="n">
        <v>5.2</v>
      </c>
      <c r="I4" s="11" t="inlineStr">
        <is>
          <t>UEM-02</t>
        </is>
      </c>
      <c r="J4" s="68" t="inlineStr">
        <is>
          <t>1. Are malware signatures automatically updated on all Windows/Linux endpoints?
2. Are update failures (out-of-date signatures) flagged in Defender for Cloud?
3. Are signature update events logged and auditable for compliance?</t>
        </is>
      </c>
      <c r="K4" s="69" t="inlineStr">
        <is>
          <t>1. Defender for Cloud assessment for "Endpoint protection should be up-to-date" ( az security assessment list -- query "[?name == 'microsoft.security/antimalwareUpToDate']" ).
2. Windows update logs ( Get-MpSignature for Defender AV).
3. Linux signature status logs ( mdatp health -- field definitions_updated ).
4. Log Analytics query on update events ( SecurityBaseline | where RecommendationName contains 'Antimalware signature' ).</t>
        </is>
      </c>
      <c r="L4" s="9" t="n">
        <v>4</v>
      </c>
      <c r="M4" s="9" t="n"/>
      <c r="N4" s="9" t="n"/>
      <c r="O4" s="1" t="n"/>
      <c r="P4" s="1" t="n"/>
      <c r="Q4" s="1" t="n"/>
    </row>
  </sheetData>
  <dataValidations count="1">
    <dataValidation sqref="N2:N4" showDropDown="0" showInputMessage="1" showErrorMessage="1" allowBlank="1" type="list">
      <formula1>"Complete,Partial,Non-Compliant"</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50.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7" t="inlineStr">
        <is>
          <t xml:space="preserve">Assessment Question </t>
        </is>
      </c>
      <c r="K1" s="67" t="inlineStr">
        <is>
          <t>Evidence to Collect</t>
        </is>
      </c>
      <c r="L1" s="6" t="inlineStr">
        <is>
          <t>Evidence Count</t>
        </is>
      </c>
      <c r="M1" s="6" t="inlineStr">
        <is>
          <t>Available Evidence Count</t>
        </is>
      </c>
      <c r="N1" s="6" t="inlineStr">
        <is>
          <t>Compliance Status</t>
        </is>
      </c>
      <c r="O1" s="6" t="inlineStr">
        <is>
          <t>Risk Severity (if non-compliant)</t>
        </is>
      </c>
      <c r="P1" s="6" t="inlineStr">
        <is>
          <t xml:space="preserve">Implementation Gap </t>
        </is>
      </c>
      <c r="Q1" s="6" t="inlineStr">
        <is>
          <t>Notes/Comments</t>
        </is>
      </c>
    </row>
    <row r="2" ht="259.5" customHeight="1">
      <c r="A2" s="9" t="inlineStr">
        <is>
          <t>CSF-AZ-B&amp;R-01</t>
        </is>
      </c>
      <c r="B2" s="13" t="inlineStr">
        <is>
          <t>Ensure regular automated backups</t>
        </is>
      </c>
      <c r="C2" s="14" t="inlineStr">
        <is>
          <t>Ensure backup of business-critical resources, either during resource creation or enforced through policy for existing resources.</t>
        </is>
      </c>
      <c r="D2" s="3" t="inlineStr">
        <is>
          <t>For Azure Backup supported resources (such as Azure VMs, SQL Server, HANA databases, Azure PostgreSQL Database, File Shares, Blobs or Disks), enable Azure Backup and configure the desired frequency and retention period. For Azure VM, you can use Azure Policy to have backup automatically enabled using Azure Policy.
For resources or services not supported by Azure Backup, use the native backup capability provided by the resource or service. For example, Azure Key Vault provides a native backup capability.
For resources/services that are neither supported by Azure Backup nor have a native backup capability, evaluate your backup and disaster needs, and create your own mechanism as per your business requirements. For example:
If you use Azure Storage for data storage, enable blob versioning for your storage blobs which will allow you to preserve, retrieve, and restore every version of every object stored in your Azure Storage.
Service configuration settings can usually be exported to Azure Resource Manager templates.</t>
        </is>
      </c>
      <c r="E2" s="10" t="inlineStr">
        <is>
          <t>BR-1</t>
        </is>
      </c>
      <c r="F2" s="4" t="n">
        <v>11.2</v>
      </c>
      <c r="G2" s="3" t="inlineStr">
        <is>
          <t>CP-2, CP-4, CP-9</t>
        </is>
      </c>
      <c r="H2" s="12" t="inlineStr">
        <is>
          <t>N/A</t>
        </is>
      </c>
      <c r="I2" s="11" t="inlineStr">
        <is>
          <t>BCR-09</t>
        </is>
      </c>
      <c r="J2" s="68" t="inlineStr">
        <is>
          <t>1. Are Azure Backup policies configured for all supported resources (VMs, SQL, HANA, PostgreSQL, File Shares, Blobs, Disks)?
2. Are Azure Policies applied to auto-enable backup at resource creation (e.g., VMs)?
3. Are unsupported services using their native backup features (e.g., Key Vault, Blob versioning)?</t>
        </is>
      </c>
      <c r="K2" s="69" t="inlineStr">
        <is>
          <t>1. Azure Policy assignment export for "Deploy Backup on VMs" ( az policy assignment list ).
2. Azure Backup vault policy configuration ( az backup policy list -- vault-name &lt;vault&gt; ).
3. Azure Resource Graph query for resources missing backup association.
4. Backup job logs from Backup Center or Recovery Services Vault.</t>
        </is>
      </c>
      <c r="L2" s="9" t="n">
        <v>4</v>
      </c>
      <c r="M2" s="9" t="n"/>
      <c r="N2" s="9" t="n"/>
      <c r="O2" s="1" t="n"/>
      <c r="P2" s="1" t="n"/>
      <c r="Q2" s="1" t="n"/>
    </row>
    <row r="3" ht="294" customHeight="1">
      <c r="A3" s="9" t="inlineStr">
        <is>
          <t>CSF-AZ-B&amp;R-02</t>
        </is>
      </c>
      <c r="B3" s="16" t="inlineStr">
        <is>
          <t>Protect backup and recovery data</t>
        </is>
      </c>
      <c r="C3" s="8" t="inlineStr">
        <is>
          <t>Ensure backup data and operations are protected from data exfiltration, data compromise, ransomware/malware and malicious insiders. The security controls that should be applied include user and network access control, data encryption at-rest and in-transit.</t>
        </is>
      </c>
      <c r="D3" s="3" t="inlineStr">
        <is>
          <t>Use multi-factor-authentication and Azure RBAC to secure the critical Azure Backup operations (such as delete, change retention, updates to backup config). For Azure Backup supported resources, use Azure RBAC to segregate duties and enable fine grained access, and create private endpoints within your Azure Virtual Network to securely backup and restore data from your Recovery Services vaults.
For Azure Backup supported resources, backup data is automatically encrypted using Azure platform-managed keys with 256-bit AES encryption. You can also choose to encrypt the backups using a customer managed key. In this case, ensure the customer-managed key in the Azure Key Vault is also in the backup scope. If you use a customer-managed key, use soft delete and purge protection in Azure Key Vault to protect keys from accidental or malicious deletion. For on-premises backups using Azure Backup, encryption-at-rest is provided using the passphrase you provide.
Safeguard backup data from accidental or malicious deletion, such as ransomware attacks/attempts to encrypt or tamper backup data. For Azure Backup supported resources, enable soft delete to ensure recovery of items with no data loss for up to 14 days after an unauthorized deletion, and enable multifactor authentication using a PIN generated in the Azure portal. Also enable geo-redundant storage or cross-region restoration to ensure backup data is restorable when there is a disaster in primary region. You can also enable Zone-redundant Storage (ZRS) to ensure backups are restorable during zonal failures.</t>
        </is>
      </c>
      <c r="E3" s="10" t="inlineStr">
        <is>
          <t>BR-2</t>
        </is>
      </c>
      <c r="F3" s="4" t="n">
        <v>11.3</v>
      </c>
      <c r="G3" s="3" t="inlineStr">
        <is>
          <t>CP-6, CP-9</t>
        </is>
      </c>
      <c r="H3" s="12" t="n">
        <v>3.4</v>
      </c>
      <c r="I3" s="11" t="inlineStr">
        <is>
          <t>BCR-10</t>
        </is>
      </c>
      <c r="J3" s="68" t="inlineStr">
        <is>
          <t>1. Is backup data encrypted (platform-managed keys or CMK in Key Vault)?
2. Are soft delete and purge protection enabled for Recovery Services Vaults and Key Vault keys?
3. Is RBAC and MFA enforced for critical operations (delete, retention changes)?
4. Are backups geo-redundant or zone-redundant for resiliency?</t>
        </is>
      </c>
      <c r="K3" s="69" t="inlineStr">
        <is>
          <t>1. Recovery Services Vault encryption settings ( az backup vault show -- name &lt;vault&gt; ).
2. Key Vault soft delete and purge protection status ( az keyvault show -- query "properties.enableSoftDelete" ).
3. Activity Logs for backup operations (delete/change) via Log Analytics.
4. Storage replication setting (GRS/ZRS) in Recovery Vault ( az backup vault backup-
properties show ).</t>
        </is>
      </c>
      <c r="L3" s="9" t="n">
        <v>4</v>
      </c>
      <c r="M3" s="9" t="n"/>
      <c r="N3" s="9" t="n"/>
      <c r="O3" s="1" t="n"/>
      <c r="P3" s="1" t="n"/>
      <c r="Q3" s="1" t="n"/>
    </row>
    <row r="4" ht="294" customHeight="1">
      <c r="A4" s="9" t="inlineStr">
        <is>
          <t>CSF-AZ-B&amp;R-03</t>
        </is>
      </c>
      <c r="B4" s="3" t="inlineStr">
        <is>
          <t>Monitor backups</t>
        </is>
      </c>
      <c r="C4" s="13" t="inlineStr">
        <is>
          <t xml:space="preserve"> Ensure all business-critical protectable resources are compliant with the defined backup policy and standard.
</t>
        </is>
      </c>
      <c r="D4" s="3" t="inlineStr">
        <is>
          <t>Monitor your Azure environment to ensure that all your critical resources are compliant from a backup perspective. Use Azure Policy for backup to audit and enforce such controls. For Azure Backup supported resources, Backup Center helps you centrally govern your backup estate.
Ensure critical backup operations (delete, change retention, updates to backup config) are monitored, audited, and have alerts in place. For Azure Backup supported resources, monitor overall backup health, get alerted to critical backup incidents, and audit triggered user actions on vaults.
Note: Where applicable, also use built-in policies (Azure Policy) to ensure that your Azure resources are configured for backup.</t>
        </is>
      </c>
      <c r="E4" s="10" t="inlineStr">
        <is>
          <t>BR-3</t>
        </is>
      </c>
      <c r="F4" s="4" t="n">
        <v>11.3</v>
      </c>
      <c r="G4" s="3" t="inlineStr">
        <is>
          <t>CP-9</t>
        </is>
      </c>
      <c r="H4" s="12" t="inlineStr">
        <is>
          <t>N/A</t>
        </is>
      </c>
      <c r="I4" s="11" t="inlineStr">
        <is>
          <t>BCR-11</t>
        </is>
      </c>
      <c r="J4" s="68" t="inlineStr">
        <is>
          <t>1. Are backup jobs (success/failure) continuously monitored in Backup Center?
2. Are alerts configured for failed/critical backup incidents?
3. Are audit logs captured for sensitive backup operations (deletes, retention changes)?
4. Are compliance checks enforced via Azure Policy for backup-enabled resources?</t>
        </is>
      </c>
      <c r="K4" s="69" t="inlineStr">
        <is>
          <t>1. Backup job status logs in Backup Center ( az backup job list -- vault-name &lt;vault&gt; ).
2. Azure Monitor alert rules for backup failures ( az monitor metrics alert list ).
3. Azure Activity Logs for backup vault operations.
4. Defender for Cloud compliance report for "resources should be backed up".</t>
        </is>
      </c>
      <c r="L4" s="9" t="n">
        <v>4</v>
      </c>
      <c r="M4" s="9" t="n"/>
      <c r="N4" s="9" t="n"/>
      <c r="O4" s="1" t="n"/>
      <c r="P4" s="1" t="n"/>
      <c r="Q4" s="1" t="n"/>
    </row>
    <row r="5" ht="119.25" customHeight="1">
      <c r="A5" s="9" t="inlineStr">
        <is>
          <t>CSF-AZ-B&amp;R-04</t>
        </is>
      </c>
      <c r="B5" s="17" t="inlineStr">
        <is>
          <t>Regularly test backup</t>
        </is>
      </c>
      <c r="C5" s="8" t="inlineStr">
        <is>
          <t>Periodically perform data recovery tests of your backup to verify that the backup configurations and availability of the backup data meets the recovery needs as per defined in the RTO (Recovery Time Objective) and RPO (Recovery Point Objective).</t>
        </is>
      </c>
      <c r="D5" s="3" t="inlineStr">
        <is>
          <t>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is>
      </c>
      <c r="E5" s="10" t="inlineStr">
        <is>
          <t>BR-4</t>
        </is>
      </c>
      <c r="F5" s="4" t="n">
        <v>11.5</v>
      </c>
      <c r="G5" s="3" t="inlineStr">
        <is>
          <t>CP-4, CP-9</t>
        </is>
      </c>
      <c r="H5" s="12" t="inlineStr">
        <is>
          <t>N/A</t>
        </is>
      </c>
      <c r="I5" s="11" t="inlineStr">
        <is>
          <t>BCR-12</t>
        </is>
      </c>
      <c r="J5" s="68" t="inlineStr">
        <is>
          <t>1. Are recovery tests performed periodically to validate RPO/RTO?
2. Are test restores executed for different resource types (VMs, Key Vault keys, SQL DBs)?
3. Is there a defined strategy for scope, frequency, and method of
4. Are test results documented and tracked for compliance?</t>
        </is>
      </c>
      <c r="K5" s="69" t="inlineStr">
        <is>
          <t>1. Restore operation logs from Recovery Services Vault ( az backup recoveryconfig show ).
2. Log Analytics reports of restore operations (successful vs failed).
3. Evidence of restored test VMs, databases, or keys (resource creation events).
4. Test plans and runbooks stored in Automation or tracked in change management system.</t>
        </is>
      </c>
      <c r="L5" s="9" t="n">
        <v>4</v>
      </c>
      <c r="M5" s="9" t="n"/>
      <c r="N5" s="9" t="n"/>
      <c r="O5" s="1" t="n"/>
      <c r="P5" s="1" t="n"/>
      <c r="Q5" s="1" t="n"/>
    </row>
  </sheetData>
  <dataValidations count="1">
    <dataValidation sqref="N2:N5" showDropDown="0" showInputMessage="1" showErrorMessage="1" allowBlank="1" type="list">
      <formula1>"Complete,Partial,Non-Compliant"</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49.7109375" customWidth="1" style="2" min="3" max="3"/>
    <col width="66.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38.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6" t="inlineStr">
        <is>
          <t>Control ID</t>
        </is>
      </c>
      <c r="B1" s="6" t="inlineStr">
        <is>
          <t>Control Title</t>
        </is>
      </c>
      <c r="C1" s="6" t="inlineStr">
        <is>
          <t>Security Principle</t>
        </is>
      </c>
      <c r="D1" s="6" t="inlineStr">
        <is>
          <t xml:space="preserve">Azure Guidance </t>
        </is>
      </c>
      <c r="E1" s="6" t="inlineStr">
        <is>
          <t>MCSB Control ID Mapping</t>
        </is>
      </c>
      <c r="F1" s="6" t="inlineStr">
        <is>
          <t>CIS Mapping (v8)</t>
        </is>
      </c>
      <c r="G1" s="6" t="inlineStr">
        <is>
          <t>NIST SP 800-53 Mapping</t>
        </is>
      </c>
      <c r="H1" s="6" t="inlineStr">
        <is>
          <t>PCI-DSS Mapping (v3.2.1)</t>
        </is>
      </c>
      <c r="I1" s="6" t="inlineStr">
        <is>
          <t>CSA CCM Control ID</t>
        </is>
      </c>
      <c r="J1" s="67" t="inlineStr">
        <is>
          <t xml:space="preserve">Assessment Question </t>
        </is>
      </c>
      <c r="K1" s="67" t="inlineStr">
        <is>
          <t>Evidence to Collect</t>
        </is>
      </c>
      <c r="L1" s="6" t="inlineStr">
        <is>
          <t>Evidence Count</t>
        </is>
      </c>
      <c r="M1" s="6" t="inlineStr">
        <is>
          <t>Available Evidence Count</t>
        </is>
      </c>
      <c r="N1" s="6" t="inlineStr">
        <is>
          <t>Compliance Status</t>
        </is>
      </c>
      <c r="O1" s="6" t="inlineStr">
        <is>
          <t>Risk Severity (if non-compliant)</t>
        </is>
      </c>
      <c r="P1" s="6" t="inlineStr">
        <is>
          <t xml:space="preserve">Implementation Gap </t>
        </is>
      </c>
      <c r="Q1" s="6" t="inlineStr">
        <is>
          <t>Notes/Comments</t>
        </is>
      </c>
    </row>
    <row r="2" ht="405" customHeight="1">
      <c r="A2" s="9" t="inlineStr">
        <is>
          <t>CSF-AZ-DOS-01</t>
        </is>
      </c>
      <c r="B2" s="13" t="inlineStr">
        <is>
          <t>Conduct threat modeling</t>
        </is>
      </c>
      <c r="C2" s="14" t="inlineStr">
        <is>
          <t>Perform threat modeling to identify the potential threats and enumerate the mitigating controls. Ensure your threat modeling serves the following purposes:
Secure your applications and services in the production run-time stage.
Secure the artifacts, underlying CI/CD pipeline and other tooling environment used for build, test, and deployment. The threat modeling at least should include the following aspects:
Define the security requirements of the application. Ensure these requirements are adequately addressed in the threat modeling.
Analyze application components, data connections and their relationship. Ensure this analysis also includes the upstream and downstream connections outside of your application scope.
List the potential threats and attack vectors that your application components, data connections and upstream and downstream services may be exposed to.
Identify the applicable security controls that can be used to mitigate the threats enumerated and identify any controls gaps (e.g., security vulnerabilities) that may require additional treatment plans.
Enumerate and design the controls that can mitigate the vulnerabilities identified.</t>
        </is>
      </c>
      <c r="D2" s="3" t="inlineStr">
        <is>
          <t>Use threat modeling tools such as the Microsoft threat modeling tool with the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minimum, use a questionnaire-based threat modeling process to identify the threats.
Ensure the threat modeling or analysis results are recorded and updated when there is a major security-impact change in your application or in the threat landscape.</t>
        </is>
      </c>
      <c r="E2" s="10" t="inlineStr">
        <is>
          <t>DS-1</t>
        </is>
      </c>
      <c r="F2" s="4" t="inlineStr">
        <is>
          <t>16.10, 16.14</t>
        </is>
      </c>
      <c r="G2" s="3" t="inlineStr">
        <is>
          <t>SA-15</t>
        </is>
      </c>
      <c r="H2" s="12" t="inlineStr">
        <is>
          <t>6.5, 12.2</t>
        </is>
      </c>
      <c r="I2" s="11" t="inlineStr">
        <is>
          <t>AIS-02</t>
        </is>
      </c>
      <c r="J2" s="68" t="inlineStr">
        <is>
          <t>1. Has a threat model been developed for applications, CI/CD pipelines, and supporting
infrastructure?
2. Are STRIDE or equivalent frameworks used to identify threats and mitigations?
3. Are threat models updated when major architectural or dependency changes occur?</t>
        </is>
      </c>
      <c r="K2" s="69" t="inlineStr">
        <is>
          <t>1. Threat modeling tool outputs (Microsoft Threat Modeling Tool files or diagrams).
2. Change management records showing updated threat models after releases.
3. Stored threat model documents in repo/wiki (with last updated timestamps).</t>
        </is>
      </c>
      <c r="L2" s="9" t="n">
        <v>3</v>
      </c>
      <c r="M2" s="9" t="n"/>
      <c r="N2" s="9" t="n"/>
      <c r="O2" s="1" t="n"/>
      <c r="P2" s="1" t="n"/>
      <c r="Q2" s="1" t="n"/>
    </row>
    <row r="3" ht="409.5" customHeight="1">
      <c r="A3" s="9" t="inlineStr">
        <is>
          <t>CSF-AZ-DOS-02</t>
        </is>
      </c>
      <c r="B3" s="16" t="inlineStr">
        <is>
          <t>Ensure software supply chain security</t>
        </is>
      </c>
      <c r="C3" s="8" t="inlineStr">
        <is>
          <t xml:space="preserve">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should at least include the following aspects:
Properly manage a Software Bill of Materials (SBOM) by identifying the upstream dependencies required for the service/resource development, build, integration and deployment phase.
Inventory and track the in-house and third-party software components for known vulnerability when there is a fix available in the upstream.
Assess the vulnerabilities and malware in the software components using static and dynamic application testing for unknown vulnerabilities.
Ensure the vulnerabilities and malware are mitigated using the appropriate approach. This may include source code local or upstream fix, feature exclusion and/or applying compensating controls if the direct mitigation is not available.
If closed source third-party components are used in your production environment, you may have limited visibility to its security posture. You should consider additional controls such as access control, network isolation and endpoint security to minimize the impact if there is a malicious activity or vulnerability associated with the component.
</t>
        </is>
      </c>
      <c r="D3" s="3" t="inlineStr">
        <is>
          <t>For the GitHub platform, ensure the software supply chain security through the following capability or tools from GitHub Advanced Security or GitHub’s native feature:- Use Dependency Graph to scan, inventory and identify all your project’s dependencies and related vulnerabilities through Advisory Database.
Use Dependabot to ensure that the vulnerable dependency is tracked and remediated, and ensure your repository automatically keeps up with the latest releases of the packages and applications it depends on.
Use GitHub's native code scanning capability to scan the source code when sourcing the code externally.
Use Microsoft Defender for Cloud to integrate vulnerability assessment for your container image in the CI/CD workflow. For Azure DevOps, you can use third-party extensions to implement similar controls to inventory, analyze and remediate the third-party software components and their vulnerabilities.</t>
        </is>
      </c>
      <c r="E3" s="18" t="inlineStr">
        <is>
          <t>DS-2</t>
        </is>
      </c>
      <c r="F3" s="4" t="inlineStr">
        <is>
          <t>16.4, 16.6, 16.11</t>
        </is>
      </c>
      <c r="G3" s="3" t="inlineStr">
        <is>
          <t>SA-12, SA-15</t>
        </is>
      </c>
      <c r="H3" s="12" t="inlineStr">
        <is>
          <t>6.3, 6.5</t>
        </is>
      </c>
      <c r="I3" s="11" t="inlineStr">
        <is>
          <t>AIS-05</t>
        </is>
      </c>
      <c r="J3" s="68" t="inlineStr">
        <is>
          <t>1. Are dependencies scanned for vulnerabilities during builds (e.g., with GitHub Dependabot
or Defender for Cloud)?
2. Are container images scanned before publishing to Azure Container Registry?
3. Are Software Bill of Materials (SBOM) maintained and updated for builds?
4. Are only trusted artifact registries used for dependencies?</t>
        </is>
      </c>
      <c r="K3" s="69" t="inlineStr">
        <is>
          <t>1. GitHub Dependency Graph and Dependabot reports.
2. ACR vulnerability assessment results from Microsoft Defender for Containers ( az acr repository show-manifests -- detail ).
3. SBOM exports (CycloneDX, SPDX) stored in repo.
4. Azure Policy or Defender for Cloud compliance results on image scanning.</t>
        </is>
      </c>
      <c r="L3" s="9" t="n">
        <v>4</v>
      </c>
      <c r="M3" s="9" t="n"/>
      <c r="N3" s="9" t="n"/>
      <c r="O3" s="1" t="n"/>
      <c r="P3" s="1" t="n"/>
      <c r="Q3" s="1" t="n"/>
    </row>
    <row r="4" ht="409.5" customHeight="1">
      <c r="A4" s="9" t="inlineStr">
        <is>
          <t>CSF-AZ-DOS-03</t>
        </is>
      </c>
      <c r="B4" s="3" t="inlineStr">
        <is>
          <t>Secure DevOps infrastructure</t>
        </is>
      </c>
      <c r="C4" s="13" t="inlineStr">
        <is>
          <t xml:space="preserve"> Ensure the DevOps infrastructure and pipeline follow security best practices across environments including your build, test, and production stages. This typically includes the security controls for following scope:
Artifact repositories that store source code, built packages and images, project artifacts and business data.
Servers, services, and tooling that host CI/CD pipelines.
CI/CD pipeline configuration.
</t>
        </is>
      </c>
      <c r="D4" s="3" t="inlineStr">
        <is>
          <t>As part of applying the Microsoft Cloud Security Benchmark to your DevOps infrastructure security controls, prioritize the following controls:
Protect artifacts and the underlying environment to ensure the CI/CD pipelines don’t become avenues to insert malicious code. For example, review your CI/CD pipeline to identify any misconfiguration in core areas of Azure DevOps such as Organization, Projects, Users, Pipelines (Build &amp; Release), Connections, and Build Agent to identify any misconfigurations such as open access, weak authentication, insecure connection setup and so on. For GitHub, use similar controls to secure the Organization permission levels.
Ensure your DevOps infrastructure is deployed consistently across development projects. Track compliance of your DevOps infrastructure at scale by using Microsoft Defender for Cloud (such as Compliance Dashboard, Azure Policy, Cloud Posture Management) or your own compliance monitoring tools.
Configure identity/role permissions and entitlement policies in Azure AD, native services, and CI/CD tools in your pipeline to ensure changes to the pipelines are authorized.
Avoid providing permanent “standing” privileged access to the human accounts such as developers or testers by using features such as Azure managed identifies and just-in-time access.
Remove keys, credentials, and secrets from code and scripts used in CI/CD workflow jobs and keep them in a key store or Azure Key Vault.
If you run self-hosted build/deployment agents, follow Microsoft Cloud Security Benchmark controls including network security, posture and vulnerability management, and endpoint security to secure your environment.</t>
        </is>
      </c>
      <c r="E4" s="10" t="inlineStr">
        <is>
          <t>DS-3</t>
        </is>
      </c>
      <c r="F4" s="4" t="n">
        <v>16.7</v>
      </c>
      <c r="G4" s="3" t="inlineStr">
        <is>
          <t>CM-2, CM-6, AC-2, AC-3, AC-6</t>
        </is>
      </c>
      <c r="H4" s="12" t="inlineStr">
        <is>
          <t>2.2, 6.3, 7.1</t>
        </is>
      </c>
      <c r="I4" s="11" t="inlineStr">
        <is>
          <t>IVS-09</t>
        </is>
      </c>
      <c r="J4" s="68" t="inlineStr">
        <is>
          <t>1. Are Azure DevOps/GitHub organizations configured with RBAC and MFA enforced?
2. Are secrets and credentials removed from code and stored in Azure Key Vault?
3. Are self-hosted build agents hardened and monitored?
4. Is CI/CD pipeline configuration audited for misconfigurations (open access, weak auth)?</t>
        </is>
      </c>
      <c r="K4" s="69" t="inlineStr">
        <is>
          <t>1. Azure DevOps/GitHub audit logs ( az devops audit-log list , GitHub org audit log export).
2. Key Vault secret inventory ( az keyvault secret list ).
3. Defender for Cloud compliance dashboard for CI/CD resources.
4. Azure Monitor/Sentinel logs for pipeline changes.</t>
        </is>
      </c>
      <c r="L4" s="9" t="n">
        <v>4</v>
      </c>
      <c r="M4" s="9" t="n"/>
      <c r="N4" s="9" t="n"/>
      <c r="O4" s="1" t="n"/>
      <c r="P4" s="1" t="n"/>
      <c r="Q4" s="1" t="n"/>
    </row>
    <row r="5" ht="135" customHeight="1">
      <c r="A5" s="9" t="inlineStr">
        <is>
          <t>CSF-AZ-DOS-04</t>
        </is>
      </c>
      <c r="B5" s="17" t="inlineStr">
        <is>
          <t>Integrate static application security testing into DevOps pipeline</t>
        </is>
      </c>
      <c r="C5" s="8" t="inlineStr">
        <is>
          <t>Ensure static application security testing (SAST) fuzzy testing, interactive testing, mobile application testing, are part of the gating controls in the CI/CD workflow. The gating can be set based on the testing results to prevent vulnerable packages from committing into the repository, building into the packages, or deploying into the production.</t>
        </is>
      </c>
      <c r="D5" s="3" t="inlineStr">
        <is>
          <t xml:space="preserve"> Integrate SAST into your pipeline (e.g., in your infrastructure as code template) so the source code can be scanned automatically in your CI/CD workflow. Azure DevOps Pipeline or GitHub can integrate the below tools and third-party SAST tools into the workflow.
GitHub CodeQL for source code analysis.
Microsoft BinSkim Binary Analyzer for Windows and *nix binary analysis.
Azure DevOps Credential Scanner (Microsoft Security DevOps extension) and GitHub native secret scanning for credential scan in the source code.</t>
        </is>
      </c>
      <c r="E5" s="10" t="inlineStr">
        <is>
          <t>DS-4</t>
        </is>
      </c>
      <c r="F5" s="4" t="n">
        <v>16.12</v>
      </c>
      <c r="G5" s="3" t="inlineStr">
        <is>
          <t>SA-11</t>
        </is>
      </c>
      <c r="H5" s="12" t="inlineStr">
        <is>
          <t>6.3, 6.5</t>
        </is>
      </c>
      <c r="I5" s="11" t="inlineStr">
        <is>
          <t>AIS-03</t>
        </is>
      </c>
      <c r="J5" s="68" t="inlineStr">
        <is>
          <t>1. Is SAST integrated in CI/CD pipelines (GitHub CodeQL, BinSkim, CredScan)?
2. Are builds blocked when critical SAST issues are detected?
3. Are SAST results stored and reviewed periodically?</t>
        </is>
      </c>
      <c r="K5" s="69" t="inlineStr">
        <is>
          <t>1. GitHub Actions workflow YAML showing CodeQL integration.
2. Azure DevOps build pipeline logs with SAST job output.
3. Security DevOps extension/CodeQL scan reports in repos.</t>
        </is>
      </c>
      <c r="L5" s="9" t="n">
        <v>3</v>
      </c>
      <c r="M5" s="9" t="n"/>
      <c r="N5" s="9" t="n"/>
      <c r="O5" s="1" t="n"/>
      <c r="P5" s="1" t="n"/>
      <c r="Q5" s="1" t="n"/>
    </row>
    <row r="6" ht="123" customHeight="1">
      <c r="A6" s="9" t="inlineStr">
        <is>
          <t>CSF-AZ-DOS-05</t>
        </is>
      </c>
      <c r="B6" s="13" t="inlineStr">
        <is>
          <t>Integrate dynamic application security testing into DevOps pipeline</t>
        </is>
      </c>
      <c r="C6" s="8" t="inlineStr">
        <is>
          <t>Ensure dynamic application security testing (DAST) are part of the gating controls in the CI/CD workflow. The gating can be set based on the testing results to prevent vulnerability from building into the packages or deploying into the production.</t>
        </is>
      </c>
      <c r="D6" s="3" t="inlineStr">
        <is>
          <t>Integrate DAST into your pipeline so the runtime application can be tested automatically in your CI/CD workflow set in Azure DevOps or GitHub. The automated penetration testing (with manual assisted validation) should also be part of the DAST.
Azure DevOps Pipeline or GitHub supports the integration of third-party DAST tools into the CI/CD workflow.</t>
        </is>
      </c>
      <c r="E6" s="10" t="inlineStr">
        <is>
          <t>DS-5</t>
        </is>
      </c>
      <c r="F6" s="4" t="n">
        <v>16.12</v>
      </c>
      <c r="G6" s="3" t="inlineStr">
        <is>
          <t>SA-11</t>
        </is>
      </c>
      <c r="H6" s="12" t="inlineStr">
        <is>
          <t>6.3, 6.5</t>
        </is>
      </c>
      <c r="I6" s="11" t="inlineStr">
        <is>
          <t>AIS-03</t>
        </is>
      </c>
      <c r="J6" s="68" t="inlineStr">
        <is>
          <t>1. Are DAST scans executed as part of release pipelines (e.g., OWASP ZAP, Web Security
Scanner)?
2. Are runtime application endpoints tested pre-production?
3. Are DAST results used as gating criteria for deployment approvals?</t>
        </is>
      </c>
      <c r="K6" s="69" t="inlineStr">
        <is>
          <t>1. Azure DevOps release pipeline logs showing DAST scan job execution.
2. GitHub Actions workflows with DAST tool integrations.
3. Stored DAST reports in artifact storage or dashboards.</t>
        </is>
      </c>
      <c r="L6" s="9" t="n">
        <v>3</v>
      </c>
      <c r="M6" s="9" t="n"/>
      <c r="N6" s="9" t="n"/>
      <c r="O6" s="1" t="n"/>
      <c r="P6" s="1" t="n"/>
      <c r="Q6" s="1" t="n"/>
    </row>
    <row r="7" ht="163.5" customHeight="1">
      <c r="A7" s="9" t="inlineStr">
        <is>
          <t>CSF-AZ-DOS-06</t>
        </is>
      </c>
      <c r="B7" s="13" t="inlineStr">
        <is>
          <t>Enforce security of workload throughout DevOps lifecycle</t>
        </is>
      </c>
      <c r="C7" s="8" t="inlineStr">
        <is>
          <t>Ensure the workload is secured throughout the entire lifecycle in development, testing, and deployment stage. Use Microsoft Cloud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Automate the deployment by using Azure or third-party tooling in the CI/CD workflow, infrastructure management (infrastructure as code), and testing to reduce human error and attack surface.
Ensure VMs, container images and other artifacts are secure from malicious manipulation.
Scan the workload artifacts (in other words, container images, dependencies, SAST and DAST scans) prior to the deployment in the CI/CD workflow
Deploy vulnerability assessment and threat detection capability into the production environment and continuously use these capabilities in the run-time.</t>
        </is>
      </c>
      <c r="D7" s="3" t="inlineStr">
        <is>
          <t>Guidance for Azure VMs:
Use Azure Shared Image Gallery to share and control access to your images by different users, service principals, or AD groups within your organization. Use Azure role-based access control (Azure RBAC) to ensure that only authorized users can access your custom images.
Define the secure configuration baselines for the VMs to eliminate unnecessary credentials, permissions, and packages. Deploy and enforce configuration baselines through custom images, Azure Resource Manager templates, and/or Azure Policy guest configuration.
Guidance for Azure container services:
Use Azure Container Registry (ACR) to create your private container registry where granular access can be restricted through Azure RBAC, so only authorized services and accounts can access the containers in the private registry.
Use Defender for Containers for vulnerability assessment of the images in your private Azure Container Registry. In addition, you can use Microsoft Defender for Cloud to integrate the container image scans as part of your CI/CD workflows.
For Azure serverless services, adopt similar controls to ensure security controls "shift-left" to the stage prior to deployment.</t>
        </is>
      </c>
      <c r="E7" s="10" t="inlineStr">
        <is>
          <t>DS-6</t>
        </is>
      </c>
      <c r="F7" s="4" t="inlineStr">
        <is>
          <t>7.5, 7.6, 7.7, 16.1, 16.7</t>
        </is>
      </c>
      <c r="G7" s="3" t="inlineStr">
        <is>
          <t>CM-2, CM-6, AC-2, AC-3, AC-6</t>
        </is>
      </c>
      <c r="H7" s="12" t="inlineStr">
        <is>
          <t>6.1, 6.2, 6.3</t>
        </is>
      </c>
      <c r="I7" s="11" t="inlineStr">
        <is>
          <t>IVS-08</t>
        </is>
      </c>
      <c r="J7" s="68" t="inlineStr">
        <is>
          <t>1. Are VM/container images hardened with baseline configs (Shared Image Gallery, Azure Policy)?
2. Are container/VM images continuously scanned in runtime with Defender for
Containers/Defender for Cloud?
3. Is laC (Terraform/ARM/Bicep) security scanning enabled pre-deployment?
4. Are runtime threat detection alerts monitored in Sentinel/Defender?</t>
        </is>
      </c>
      <c r="K7" s="69" t="inlineStr">
        <is>
          <t>1. Shared Image Gallery/ACR access logs.
2. Defender for Cloud "Container image vulnerabilities" reports.
3. laC security scan logs (Checkov, Bicep linter, Azure DevOps Security DevOps extension).
4. Sentinel incident logs from Defender for Cloud signals.</t>
        </is>
      </c>
      <c r="L7" s="9" t="n">
        <v>4</v>
      </c>
      <c r="M7" s="9" t="n"/>
      <c r="N7" s="9" t="n"/>
      <c r="O7" s="1" t="n"/>
      <c r="P7" s="1" t="n"/>
      <c r="Q7" s="1" t="n"/>
    </row>
    <row r="8" ht="200.25" customHeight="1">
      <c r="A8" s="9" t="inlineStr">
        <is>
          <t>CSF-AZ-DOS-07</t>
        </is>
      </c>
      <c r="B8" s="13" t="inlineStr">
        <is>
          <t xml:space="preserve">Enable logging and monitoring in DevOps
</t>
        </is>
      </c>
      <c r="C8" s="8" t="inlineStr">
        <is>
          <t xml:space="preserve">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t>
        </is>
      </c>
      <c r="D8" s="3" t="inlineStr">
        <is>
          <t>Enable and configure the audit logging capabilities in non-production and CI/CD tooling environments (such as Azure DevOps and GitHub) used throughout the DevOps process.
The events generated from Azure DevOps and the GitHub CI/CD workflow, including the build, test and deployment jobs, should also be monitored to identify any anomalous results.
Ingest the above logs and events into Microsoft Sentinel or other SIEM tools through a logging stream or API to ensure the security incidents are properly monitored and triaged for handling.</t>
        </is>
      </c>
      <c r="E8" s="10" t="inlineStr">
        <is>
          <t>DS-7</t>
        </is>
      </c>
      <c r="F8" s="4" t="inlineStr">
        <is>
          <t>8.2, 8.5, 8.9, 8.11</t>
        </is>
      </c>
      <c r="G8" s="3" t="inlineStr">
        <is>
          <t>AU-3, AU-6, AU-12, SI-4</t>
        </is>
      </c>
      <c r="H8" s="12" t="inlineStr">
        <is>
          <t>10.1, 10.2, 10.3, 10.6</t>
        </is>
      </c>
      <c r="I8" s="11" t="inlineStr">
        <is>
          <t>LOG-04</t>
        </is>
      </c>
      <c r="J8" s="68" t="inlineStr">
        <is>
          <t>1. Are Azure DevOps and GitHub audit logs enabled and exported to Sentinel/Log Analytics?
2. Are CI/CD pipeline events (build, test, deploy) monitored for anomalies?
3. Are alerts generated for suspicious activities in DevOps environments?
4. Are logs from self-hosted build agents centralized in SIEM?</t>
        </is>
      </c>
      <c r="K8" s="69" t="inlineStr">
        <is>
          <t>1. Azure DevOps audit streaming config ( az devops audit-log list -- org &lt;org&gt; ).
2. GitHub org audit log export.
3. Sentinel analytics rules monitoring DevOps logs.
4. Log Analytics queries for CI/CD job anomalies.</t>
        </is>
      </c>
      <c r="L8" s="9" t="n">
        <v>4</v>
      </c>
      <c r="M8" s="9" t="n"/>
      <c r="N8" s="9" t="n"/>
      <c r="O8" s="1" t="n"/>
      <c r="P8" s="1" t="n"/>
      <c r="Q8" s="1" t="n"/>
    </row>
  </sheetData>
  <dataValidations count="1">
    <dataValidation sqref="N2:N8" showDropDown="0" showInputMessage="1" showErrorMessage="1" allowBlank="1" type="list">
      <formula1>"Complete,Partial,Non-Compliant"</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Q12"/>
  <sheetViews>
    <sheetView tabSelected="1" workbookViewId="0">
      <pane ySplit="1" topLeftCell="A2" activePane="bottomLeft" state="frozen"/>
      <selection pane="bottomLeft" activeCell="J1" sqref="J1:K1048576"/>
    </sheetView>
  </sheetViews>
  <sheetFormatPr baseColWidth="8" defaultRowHeight="15"/>
  <cols>
    <col width="25.28515625" customWidth="1" min="1" max="1"/>
    <col width="32.28515625" customWidth="1" style="2" min="2" max="2"/>
    <col width="85.7109375" customWidth="1" style="2" min="3" max="3"/>
    <col width="17.7109375" customWidth="1" style="5" min="4" max="4"/>
    <col width="34" customWidth="1" style="5" min="5" max="5"/>
    <col width="23.85546875" customWidth="1" min="6" max="6"/>
    <col width="17.85546875" customWidth="1" style="2" min="7" max="7"/>
    <col width="16.5703125" customWidth="1" style="2" min="8" max="8"/>
    <col width="18.42578125" customWidth="1" min="9" max="9"/>
    <col width="52.5703125" customWidth="1" style="74" min="10" max="10"/>
    <col width="38.28515625" customWidth="1" style="74" min="11" max="11"/>
    <col width="17.7109375" customWidth="1" min="12" max="12"/>
    <col width="25.28515625" customWidth="1" min="13" max="13"/>
    <col width="21" customWidth="1" min="14" max="14"/>
    <col width="27.5703125" customWidth="1" min="15" max="15"/>
    <col width="40.28515625" customWidth="1" min="16" max="16"/>
    <col width="49.5703125" customWidth="1" min="17" max="17"/>
  </cols>
  <sheetData>
    <row r="1" ht="31.5" customFormat="1" customHeight="1" s="7">
      <c r="A1" s="51" t="inlineStr">
        <is>
          <t>Control ID</t>
        </is>
      </c>
      <c r="B1" s="51" t="inlineStr">
        <is>
          <t>Control Title</t>
        </is>
      </c>
      <c r="C1" s="51" t="inlineStr">
        <is>
          <t>Security Principle</t>
        </is>
      </c>
      <c r="D1" s="51" t="inlineStr">
        <is>
          <t xml:space="preserve">Azure Guidance </t>
        </is>
      </c>
      <c r="E1" s="51" t="inlineStr">
        <is>
          <t>MCSB Control ID Mapping</t>
        </is>
      </c>
      <c r="F1" s="51" t="inlineStr">
        <is>
          <t>CIS Mapping (v8)</t>
        </is>
      </c>
      <c r="G1" s="51" t="inlineStr">
        <is>
          <t>NIST SP 800-53 Mapping</t>
        </is>
      </c>
      <c r="H1" s="51" t="inlineStr">
        <is>
          <t>PCI-DSS Mapping (v3.2.1)</t>
        </is>
      </c>
      <c r="I1" s="51" t="inlineStr">
        <is>
          <t>CSA CCM Control ID</t>
        </is>
      </c>
      <c r="J1" s="77" t="inlineStr">
        <is>
          <t xml:space="preserve">Assessment Question </t>
        </is>
      </c>
      <c r="K1" s="77" t="inlineStr">
        <is>
          <t>Evidence to Collect</t>
        </is>
      </c>
      <c r="L1" s="51" t="inlineStr">
        <is>
          <t>Evidence Count</t>
        </is>
      </c>
      <c r="M1" s="51" t="inlineStr">
        <is>
          <t>Available Evidence Count</t>
        </is>
      </c>
      <c r="N1" s="51" t="inlineStr">
        <is>
          <t>Compliance Status</t>
        </is>
      </c>
      <c r="O1" s="51" t="inlineStr">
        <is>
          <t>Risk Severity (if non-compliant)</t>
        </is>
      </c>
      <c r="P1" s="51" t="inlineStr">
        <is>
          <t xml:space="preserve">Implementation Gap </t>
        </is>
      </c>
      <c r="Q1" s="51" t="inlineStr">
        <is>
          <t>Notes/Comments</t>
        </is>
      </c>
    </row>
    <row r="2" ht="259.5" customHeight="1">
      <c r="A2" s="4" t="inlineStr">
        <is>
          <t>CSF-AZ-GS-01</t>
        </is>
      </c>
      <c r="B2" s="52" t="inlineStr">
        <is>
          <t>Align organization roles, responsibilities and accountabilities</t>
        </is>
      </c>
      <c r="C2" s="38" t="inlineStr">
        <is>
          <t>Ensure that you define and communicate a clear strategy for roles and responsibilities in your security organization. Prioritize providing clear accountability for security decisions, educate everyone on the shared responsibility model, and educate technical teams on technology to secure the cloud.</t>
        </is>
      </c>
      <c r="D2" s="3" t="inlineStr">
        <is>
          <t>-</t>
        </is>
      </c>
      <c r="E2" s="18" t="inlineStr">
        <is>
          <t>GS-1</t>
        </is>
      </c>
      <c r="F2" s="4" t="n">
        <v>14.9</v>
      </c>
      <c r="G2" s="3" t="inlineStr">
        <is>
          <t>PL-9, PM-10, PM-13, AT-1, AT-3</t>
        </is>
      </c>
      <c r="H2" s="12" t="n">
        <v>2.4</v>
      </c>
      <c r="I2" s="4" t="inlineStr">
        <is>
          <t>GRC-01</t>
        </is>
      </c>
      <c r="J2" s="78" t="inlineStr">
        <is>
          <t>1. Have cloud security roles and responsibilities been formally documented and approved?
2. Are responsibilities aligned to Azure RBAC roles at tenant, subscription, and resource
levels?
3. Is accountability reviewed periodically (e.g., during access reviews)?</t>
        </is>
      </c>
      <c r="K2" s="79" t="inlineStr">
        <is>
          <t>1. Azure AD role assignments export ( az role assignment list ).
2. Security org chart with role-to-Azure-role mapping.
3. Access review reports from Azure AD Identity Governance.</t>
        </is>
      </c>
      <c r="L2" s="4" t="n">
        <v>3</v>
      </c>
      <c r="M2" s="34" t="n"/>
      <c r="N2" s="4" t="n"/>
      <c r="O2" s="4" t="n"/>
      <c r="P2" s="4" t="n"/>
      <c r="Q2" s="4" t="n"/>
    </row>
    <row r="3" ht="294" customHeight="1">
      <c r="A3" s="4" t="inlineStr">
        <is>
          <t>CSF-AZ-GS-02</t>
        </is>
      </c>
      <c r="B3" s="53" t="inlineStr">
        <is>
          <t>Define and implement enterprise segmentation/separation of duties strategy</t>
        </is>
      </c>
      <c r="C3" s="3" t="inlineStr">
        <is>
          <t>Establish an enterprise-wide strategy to segment access to assets using a combination of identity, network, application, subscription, management group, and other controls.
Carefully balance the need for security separation with the need to enable daily operation of the systems that need to communicate with each other and access data.
Ensure that the segmentation strategy is implemented consistently in the workload, including network security, identity and access models, and application permission/access models, and human process controls.</t>
        </is>
      </c>
      <c r="D3" s="3" t="n"/>
      <c r="E3" s="18" t="inlineStr">
        <is>
          <t>GS-2</t>
        </is>
      </c>
      <c r="F3" s="4" t="n">
        <v>3.12</v>
      </c>
      <c r="G3" s="3" t="inlineStr">
        <is>
          <t>AC-4, SC-7, SC-2</t>
        </is>
      </c>
      <c r="H3" s="12" t="inlineStr">
        <is>
          <t>1.2, 6.4</t>
        </is>
      </c>
      <c r="I3" s="4" t="inlineStr">
        <is>
          <t>IAM-10</t>
        </is>
      </c>
      <c r="J3" s="78" t="inlineStr">
        <is>
          <t>1. Is separation of duties enforced across management groups, subscriptions, and RBAC roles?
2. Are privileged functions (e.g., key management, identity admin) split across different
3. Is network/service segmentation aligned with enterprise security strategy?</t>
        </is>
      </c>
      <c r="K3" s="79" t="inlineStr">
        <is>
          <t>1. RBAC role assignment exports ( az role assignment list -- all ).
2. Azure Policy enforcing subscription/management group segmentation.
3. Network topology/segmentation diagrams from Azure Resource Graph queries.</t>
        </is>
      </c>
      <c r="L3" s="4" t="n">
        <v>3</v>
      </c>
      <c r="M3" s="34" t="n"/>
      <c r="N3" s="4" t="n"/>
      <c r="O3" s="4" t="n"/>
      <c r="P3" s="4" t="n"/>
      <c r="Q3" s="4" t="n"/>
    </row>
    <row r="4" ht="255" customHeight="1">
      <c r="A4" s="4" t="inlineStr">
        <is>
          <t>CSF-AZ-GS-03</t>
        </is>
      </c>
      <c r="B4" s="3" t="inlineStr">
        <is>
          <t>Define and implement data protection strategy</t>
        </is>
      </c>
      <c r="C4" s="52" t="inlineStr">
        <is>
          <t>Establish an enterprise-wide strategy for data protection in your cloud environment:
Define and apply the data classification and protection standard in accordance with the enterprise data management standard and regulatory compliance to dictate the security controls required for each level of the data classification.
Set up your cloud resource management hierarchy aligned to the enterprise segmentation strategy. The enterprise segmentation strategy should also be informed by the location of sensitive or business critical data and systems.
Define and apply the applicable zero-trust principles in your cloud environment to avoid implementing trust based on network location within a perimeter. Instead, use device and user trust claims to gate access to data and resources.
Track and minimize the sensitive data footprint (storage, transmission, and processing) across the enterprise to reduce the attack surface and data protection cost. Consider techniques such as one-way hashing, truncation, and tokenization in the workload where possible, to avoid storing and transmitting sensitive data in its original form.
Ensure you have a full lifecycle control strategy to provide security assurance of the data and access keys.</t>
        </is>
      </c>
      <c r="D4" s="3" t="n"/>
      <c r="E4" s="18" t="inlineStr">
        <is>
          <t>GS-3</t>
        </is>
      </c>
      <c r="F4" s="4" t="inlineStr">
        <is>
          <t>3.1, 3.7, 3.12</t>
        </is>
      </c>
      <c r="G4" s="3" t="inlineStr">
        <is>
          <t>AC-4, SI-4, SC-8, SC-12, SC-17, SC-28, RA-2</t>
        </is>
      </c>
      <c r="H4" s="12" t="inlineStr">
        <is>
          <t>3.1, 3.2, 3.3, 3.4, 3.5, 3.6, 3.7, 4.1, A3.2</t>
        </is>
      </c>
      <c r="I4" s="4" t="inlineStr">
        <is>
          <t>DSP-01</t>
        </is>
      </c>
      <c r="J4" s="78" t="inlineStr">
        <is>
          <t>1. Are all data services (storage, DBs, disks) encrypted at rest (PMK/CMK)?
2. Is encryption in transit (TLS 1.2+) enforced for data flows?
3. Are sensitive data types classified and labeled?</t>
        </is>
      </c>
      <c r="K4" s="79" t="inlineStr">
        <is>
          <t>1. Azure Policy compliance export for encryption-at-rest ( az security assessment list ).
2. Storage/DB encryption config ( az storage account show -- query encryption, az sql db show -- query encryptionProtector ).
3. Microsoft Purview classification/labelling report export.</t>
        </is>
      </c>
      <c r="L4" s="4" t="n">
        <v>3</v>
      </c>
      <c r="M4" s="34" t="n"/>
      <c r="N4" s="4" t="n"/>
      <c r="O4" s="4" t="n"/>
      <c r="P4" s="4" t="n"/>
      <c r="Q4" s="4" t="n"/>
    </row>
    <row r="5" ht="180" customHeight="1">
      <c r="A5" s="4" t="inlineStr">
        <is>
          <t>CSF-AZ-GS-04</t>
        </is>
      </c>
      <c r="B5" s="54" t="inlineStr">
        <is>
          <t>Define and implement network security strategy</t>
        </is>
      </c>
      <c r="C5" s="3" t="inlineStr">
        <is>
          <t>Establish a cloud network security strategy as part of your organization’s overall security strategy for access control. This strategy should include documented guidance, policy, and standards for the following elements:
Design a centralized/decentralized network management and security responsibility model to deploy and maintain network resources.
A virtual network segmentation model aligned with the enterprise segmentation strategy.
An Internet edge and ingress and egress strategy.
A hybrid cloud and on-premises interconnectivity strategy.
A network monitoring and logging strategy.
Up-to-date network security artifacts (such as network diagrams, reference network architecture).</t>
        </is>
      </c>
      <c r="D5" s="3" t="n"/>
      <c r="E5" s="18" t="inlineStr">
        <is>
          <t>GS-4</t>
        </is>
      </c>
      <c r="F5" s="4" t="inlineStr">
        <is>
          <t>12.2, 12.4</t>
        </is>
      </c>
      <c r="G5" s="3" t="inlineStr">
        <is>
          <t>AC-4, AC-17, CA-3, CM-1, CM-2, CM-6, CM-7, SC-1, SC-2, SC-5, SC-7, SC-20, SC-21, SI-4</t>
        </is>
      </c>
      <c r="H5" s="12" t="inlineStr">
        <is>
          <t>1.1, 1.2, 1.3, 1.5, 4.1, 6.6, 11.4, A2.1, A2.2, A2.3, A3.2</t>
        </is>
      </c>
      <c r="I5" s="4" t="inlineStr">
        <is>
          <t>IVS-06</t>
        </is>
      </c>
      <c r="J5" s="78" t="inlineStr">
        <is>
          <t>1. Is segmentation and perimeter control enforced with NSGs, Firewalls, and Private Link?
2. Is DDoS Protection enabled for critical public endpoints?
3. Are flow logs from NSGs and Firewalls ingested into Log Analytics or Sentinel?</t>
        </is>
      </c>
      <c r="K5" s="79" t="inlineStr">
        <is>
          <t>1. NSG/Firewall rules export ( az network nsg rule list, az network firewall network-rule
list ).
2. DDoS Protection Plan config ( az network ddos-protection show ).
3. Network Watcher Flow Log status ( az network watcher flow-log show ).</t>
        </is>
      </c>
      <c r="L5" s="4" t="n">
        <v>3</v>
      </c>
      <c r="M5" s="34" t="n"/>
      <c r="N5" s="4" t="n"/>
      <c r="O5" s="4" t="n"/>
      <c r="P5" s="4" t="n"/>
      <c r="Q5" s="4" t="n"/>
    </row>
    <row r="6" ht="405" customHeight="1">
      <c r="A6" s="4" t="inlineStr">
        <is>
          <t>CSF-AZ-GS-05</t>
        </is>
      </c>
      <c r="B6" s="52" t="inlineStr">
        <is>
          <t xml:space="preserve">Define and implement security posture management strategy
</t>
        </is>
      </c>
      <c r="C6" s="3" t="inlineStr">
        <is>
          <t>Establish a policy, procedure and standard to ensure the security configuration management and vulnerability management are in place in your cloud security mandate.
The security configuration management in cloud should include the following areas:
Define the secure configuration baselines for different resource types in the cloud, such as the web portal/console, management and control plane, and resources running in the IaaS, PaaS and SaaS services.
Ensure the security baselines address the risks in different control areas such as network security, identity management, privileged access, data protection and so on.
Use tools to continuously measure, audit, and enforce the configuration to prevent configuration deviating from the baseline.
Develop a cadence to stay updated with security features, for instance, subscribe to the service updates.
Utilize a security health or compliance check mechanism (such as Secure Score, Compliance Dashboard in Microsoft Defender for Cloud) to regularly review security configuration posture and remediate the gaps identified.
The vulnerability management in the cloud should include the following security aspects:
Regularly assess and remediate vulnerabilities in all cloud resource types, such as cloud native services, operating systems, and application components.
Use a risk-based approach to prioritize assessment and remediation.
Subscribe to the relevant CSPM's security advisory notices and blogs to receive the latest security updates.
Ensure the vulnerability assessment and remediation (such as schedule, scope, and techniques) meet the compliance requirements for your organization.dule, scope, and techniques) meet the regularly compliance requirements for your organization.</t>
        </is>
      </c>
      <c r="D6" s="3" t="n"/>
      <c r="E6" s="18" t="inlineStr">
        <is>
          <t>GS-5</t>
        </is>
      </c>
      <c r="F6" s="4" t="inlineStr">
        <is>
          <t>4.1, 4.2</t>
        </is>
      </c>
      <c r="G6" s="3" t="inlineStr">
        <is>
          <t>CA-1, CA-8, CM-1, CM-2, CM-6, RA-1, RA-3, RA-5, SI-1, SI-2, SI-5</t>
        </is>
      </c>
      <c r="H6" s="12" t="inlineStr">
        <is>
          <t>1.1, 1.2, 2.2, 6.1, 6.2, 6.5, 6.6, 11.2, 11.3, 11.5</t>
        </is>
      </c>
      <c r="I6" s="4" t="inlineStr">
        <is>
          <t>TVM-03</t>
        </is>
      </c>
      <c r="J6" s="78" t="inlineStr">
        <is>
          <t>1. Is Defender for Cloud enabled at subscription/tenant level?
2. Is Secure Score monitored with remediation actions tracked?</t>
        </is>
      </c>
      <c r="K6" s="79" t="inlineStr">
        <is>
          <t>1. Secure Score export ( az security secure-score-control list ).
2. Regulatory compliance report ( az security regulatory-compliance-standards show).</t>
        </is>
      </c>
      <c r="L6" s="4" t="n">
        <v>2</v>
      </c>
      <c r="M6" s="34" t="n"/>
      <c r="N6" s="4" t="n"/>
      <c r="O6" s="4" t="n"/>
      <c r="P6" s="4" t="n"/>
      <c r="Q6" s="4" t="n"/>
    </row>
    <row r="7" ht="300" customHeight="1">
      <c r="A7" s="4" t="inlineStr">
        <is>
          <t>CSF-AZ-GS-06</t>
        </is>
      </c>
      <c r="B7" s="52" t="inlineStr">
        <is>
          <t>Define and implement identity and privileged access strategy</t>
        </is>
      </c>
      <c r="C7" s="3" t="inlineStr">
        <is>
          <t>Establish a cloud identity and privileged access approach as part of your organization’s overall security access control strategy. This strategy should include documented guidance, policy, and standards for the following aspects:
Centralized identity and authentication system (such as Azure AD) and its interconnectivity with other internal and external identity systems
Privileged identity and access governance (such as access request, review and approval)
Privileged accounts in emergency (break-glass) situation
Strong authentication (passwordless authentication and multifactor authentication) methods in different use cases and conditions.
Secure access by administrative operations through web portal/console, command-line and API.
For exception cases, where an enterprise system isn’t used, ensure adequate security controls are in place for identity, authentication and access management, and governed. These exceptions should be approved and periodically reviewed by the enterprise team. These exceptions are typically in cases such as:
Use of a non-enterprise designated identity and authentication system, such as cloud-based third-party systems (may introduce unknown risks)
Privileged users authenticated locally and/or use non-strong authentication methods</t>
        </is>
      </c>
      <c r="D7" s="3" t="n"/>
      <c r="E7" s="18" t="inlineStr">
        <is>
          <t>GS-6</t>
        </is>
      </c>
      <c r="F7" s="4" t="inlineStr">
        <is>
          <t>5.6, 6.5, 6.7</t>
        </is>
      </c>
      <c r="G7" s="3" t="inlineStr">
        <is>
          <t>AC-1, AC-2, AC-3, AC-4, AC-5, AC-6, IA-1, IA-2, IA-4, IA-5, IA-8, IA-9, SI-4</t>
        </is>
      </c>
      <c r="H7" s="12" t="inlineStr">
        <is>
          <t>7.1, 7.2, 7.3, 8.1, 8.2, 8.3, 8.4, 8.5, 8.6, 8.7, 8.8, A3.4</t>
        </is>
      </c>
      <c r="I7" s="4" t="inlineStr">
        <is>
          <t>IAM-01</t>
        </is>
      </c>
      <c r="J7" s="78" t="inlineStr">
        <is>
          <t>1. Is Azure AD the central identity provider for all resources?
2. Is Privileged Identity Management (PIM) enabled for JIT elevation?
3. Is MFA enforced for privileged roles?</t>
        </is>
      </c>
      <c r="K7" s="79" t="inlineStr">
        <is>
          <t>1. Directory role assignment export ( az role assignment list -- all ).
2. PIM activation logs ( Get-AzureADMSPrivilegedRoleAssignment ).
3. Conditional Access policy export ( az ad conditionalaccess policy list ).</t>
        </is>
      </c>
      <c r="L7" s="4" t="n">
        <v>3</v>
      </c>
      <c r="M7" s="34" t="n"/>
      <c r="N7" s="4" t="n"/>
      <c r="O7" s="4" t="n"/>
      <c r="P7" s="4" t="n"/>
      <c r="Q7" s="4" t="n"/>
    </row>
    <row r="8" ht="390" customHeight="1">
      <c r="A8" s="4" t="inlineStr">
        <is>
          <t>CSF-AZ-GS-07</t>
        </is>
      </c>
      <c r="B8" s="52" t="inlineStr">
        <is>
          <t xml:space="preserve">Define and implement logging, threat detection and incident response strategy
</t>
        </is>
      </c>
      <c r="C8" s="3" t="inlineStr">
        <is>
          <t>Establish a logging, threat detection and incident response strategy to rapidly detect and remediate threats and meet compliance requirements. Security operations (SecOps / SOC) team should prioritize high quality alerts and seamless experiences so that they can focus on threats rather than log integration and manual steps. This strategy should include documented policy, procedure and standards for the following aspects:
The security operations (SecOps) organization's role and responsibilities
A well-defined and regularly tested incident response plan and handling process aligning with NIST SP 800-61 (Computer Security Incident Handling Guide) or other industry frameworks.
Communication and notification plan with your customers, suppliers, and public parties of interest.
Simulate both expected and unexpected security events within your cloud environment to understand the effectiveness of your preparation. Iterate on the outcome of your simulation to improve the scale of your response posture, reduce time to value, and further reduce risk.
Preference of using extended detection and response (XDR) capabilities, such as Azure Defender capabilities, to detect threats in various areas.
Use of cloud native capability (e.g., as Microsoft Defender for Cloud) and third-party platforms for incident handling, such as logging and threat detection, forensics, and attack remediation and eradication.
Prepare the necessary runbooks, both manual and automated, to ensure reliable and consistent responses.
Define key scenarios (such as threat detection, incident response, and compliance) and set up log capture and retention to meet the scenario requirements.
Centralized visibility of and correlation information about threats, using SIEM, native cloud threat detection capability, and other sources.
Post-incident activities, such as lessons learned and evidence retention.</t>
        </is>
      </c>
      <c r="D8" s="3" t="n"/>
      <c r="E8" s="18" t="inlineStr">
        <is>
          <t>GS-7</t>
        </is>
      </c>
      <c r="F8" s="4" t="inlineStr">
        <is>
          <t>8.1, 13.1, 17.2, 17.4,17.7</t>
        </is>
      </c>
      <c r="G8" s="3" t="inlineStr">
        <is>
          <t>AU-1, IR-1, IR-2, IR-10, SI-1, SI-5</t>
        </is>
      </c>
      <c r="H8" s="12" t="inlineStr">
        <is>
          <t>10.1, 10.2, 10.3, 10.4, 10.5, 10.6, 10.7, 10.8, 10.9, 12.10, A3.5</t>
        </is>
      </c>
      <c r="I8" s="4" t="inlineStr">
        <is>
          <t>LOG-01</t>
        </is>
      </c>
      <c r="J8" s="78" t="inlineStr">
        <is>
          <t>1. Are diagnostic logs for critical resources exported to Log Analytics or Sentinel?
2. Are Defender for Cloud alerts integrated with Sentinel for IR workflows?</t>
        </is>
      </c>
      <c r="K8" s="79" t="inlineStr">
        <is>
          <t>1. Diagnostic settings config ( az monitor diagnostic-settings list ).
2. Sentinel connector configuration logs.
3. Defender for Cloud security alert export ( az security alert list ).</t>
        </is>
      </c>
      <c r="L8" s="4" t="n">
        <v>3</v>
      </c>
      <c r="M8" s="34" t="n"/>
      <c r="N8" s="4" t="n"/>
      <c r="O8" s="4" t="n"/>
      <c r="P8" s="4" t="n"/>
      <c r="Q8" s="4" t="n"/>
    </row>
    <row r="9" ht="210.75" customHeight="1">
      <c r="A9" s="4" t="inlineStr">
        <is>
          <t>CSF-AZ-GS-08</t>
        </is>
      </c>
      <c r="B9" s="52" t="inlineStr">
        <is>
          <t>Define and implement backup and recovery strategy</t>
        </is>
      </c>
      <c r="C9" s="3" t="inlineStr">
        <is>
          <t>Establish a backup and recovery strategy for your organization. This strategy should include documented guidance, policy, and standards in the following aspects:
Recovery time objective (RTO) and recovery point objective (RPO) definitions in accordance with your business resiliency objectives, and regulatory compliance requirements.
Redundancy design (including backup, restore and replication) in your applications and infrastructure for both in cloud and on-premises. Consider regional, region-pairs, cross-regional recovery and off-site storage location as part of your strategy.
Protection of backup from unauthorized access and tempering using controls such as data access control, encryption and network security.
Use of backup and recovery to mitigate the risks from emerging threats, such as ransomware attacks. And also secure the backup and recovery data itself from these attacks.
Monitoring the backup and recovery data and operations for audit and alerting purposes.</t>
        </is>
      </c>
      <c r="D9" s="3" t="n"/>
      <c r="E9" s="18" t="inlineStr">
        <is>
          <t>GS-8</t>
        </is>
      </c>
      <c r="F9" s="4" t="n">
        <v>11.1</v>
      </c>
      <c r="G9" s="3" t="inlineStr">
        <is>
          <t>CP-1, CP-9, CP-10</t>
        </is>
      </c>
      <c r="H9" s="12" t="n">
        <v>3.4</v>
      </c>
      <c r="I9" s="4" t="inlineStr">
        <is>
          <t>BCR-09</t>
        </is>
      </c>
      <c r="J9" s="78" t="inlineStr">
        <is>
          <t>1. Are Azure Backup policies applied to all supported workloads?
2. Are restore tests performed periodically to validate RPO/RTO?</t>
        </is>
      </c>
      <c r="K9" s="79" t="inlineStr">
        <is>
          <t>1. Recovery Services Vault backup policy config ( az backup policy list ).
2· Restore job logs ( az backup job list -- vault-name &lt;vault&gt; ).</t>
        </is>
      </c>
      <c r="L9" s="4" t="n">
        <v>2</v>
      </c>
      <c r="M9" s="34" t="n"/>
      <c r="N9" s="4" t="n"/>
      <c r="O9" s="4" t="n"/>
      <c r="P9" s="4" t="n"/>
      <c r="Q9" s="4" t="n"/>
    </row>
    <row r="10" ht="206.25" customHeight="1">
      <c r="A10" s="4" t="inlineStr">
        <is>
          <t>CSF-AZ-GS-09</t>
        </is>
      </c>
      <c r="B10" s="52" t="inlineStr">
        <is>
          <t>Define and implement endpoint security strategy</t>
        </is>
      </c>
      <c r="C10" s="3" t="inlineStr">
        <is>
          <t>Establish a cloud endpoint security strategy which includes the following aspects:- Deploy the endpoint detection and response and anti-malware capability into your endpoint and integrate with the threat detection and SIEM solution and the security operations process.
Follow the Microsoft Cloud Security Benchmark to ensure endpoint related security settings in other respective areas (such as network security, posture vulnerability management, identity and privileged access, and logging and threat detections) are also in place to provide a defense-in-depth protection for your endpoint.
Prioritize the endpoint security in your production environment but ensure that non-production environments (such as test and build environment used in the DevOps process) are also secured and monitored, as these environments can also be used to introduce malware and vulnerabilities into the production environment.</t>
        </is>
      </c>
      <c r="D10" s="3" t="n"/>
      <c r="E10" s="18" t="inlineStr">
        <is>
          <t>GS-9</t>
        </is>
      </c>
      <c r="F10" s="4" t="inlineStr">
        <is>
          <t>4.4, 10.1</t>
        </is>
      </c>
      <c r="G10" s="3" t="inlineStr">
        <is>
          <t>SI-2, SI-3, SC-3</t>
        </is>
      </c>
      <c r="H10" s="12" t="inlineStr">
        <is>
          <t>5.1, 5.2, 5.3, 5.4, 11.5</t>
        </is>
      </c>
      <c r="I10" s="4" t="inlineStr">
        <is>
          <t>UEM-01</t>
        </is>
      </c>
      <c r="J10" s="78" t="inlineStr">
        <is>
          <t>1. Are all Azure VMs onboarded to Defender for Servers (Defender for Endpoint)?
2. Is endpoint protection (anti-malware) healthy and signatures up to date?</t>
        </is>
      </c>
      <c r="K10" s="79" t="inlineStr">
        <is>
          <t>1. Defender for Cloud endpoint protection compliance ( az security assessment list -- query "[?contains(name, 'antimalware' )]" ).
2. Device signature status ( Get-MpSignature for Windows, mdatp health for Linux).</t>
        </is>
      </c>
      <c r="L10" s="4" t="n">
        <v>2</v>
      </c>
      <c r="M10" s="34" t="n"/>
      <c r="N10" s="4" t="n"/>
      <c r="O10" s="4" t="n"/>
      <c r="P10" s="4" t="n"/>
      <c r="Q10" s="4" t="n"/>
    </row>
    <row r="11" ht="314.25" customHeight="1">
      <c r="A11" s="23" t="inlineStr">
        <is>
          <t>CSF-AZ-GS-10</t>
        </is>
      </c>
      <c r="B11" s="53" t="inlineStr">
        <is>
          <t xml:space="preserve">Define and implement DevOps security strategy
</t>
        </is>
      </c>
      <c r="C11" s="22" t="inlineStr">
        <is>
          <t>Mandate the security controls as part of the organization’s DevOps engineering and operation standard. Define the security objectives, control requirements, and tooling specifications in accordance with enterprise and cloud security standards in your organization.
Encourage the use of DevOps as an essential operating model in your organization for its benefits in rapidly identifying and remediating vulnerabilities using different type of automations (such as infrastructure as code provision, and automated SAST and DAST scan) throughout the CI/CD workflow. This ‘shift left’ approach also increases visibility and ability to enforce consistent security checks in your deployment pipeline, effectively deploying security guardrails into the environment ahead of time to avoid last minute security surprises when deploying a workload into production.
When shifting security controls left into the pre-deployment phases, implement security guardrails to ensure the controls are deployed and enforced throughout your DevOps process. This technology could include resource deployment templates (such as Azure ARM template) to define guardrails in the IaC (infrastructure as code), resource provisioning and audit to restrict which services or configurations can be provisioned into the environment.
For the run-time security controls of your workload, follow the Microsoft Cloud Security Benchmark to design and implement effective the controls, such as identity and privileged access, network security, endpoint security, and data protection inside your workload applications and services.</t>
        </is>
      </c>
      <c r="D11" s="22" t="n"/>
      <c r="E11" s="18" t="inlineStr">
        <is>
          <t>GS-10</t>
        </is>
      </c>
      <c r="F11" s="23" t="inlineStr">
        <is>
          <t>4.1, 4.2, 16.1, 16.2</t>
        </is>
      </c>
      <c r="G11" s="22" t="inlineStr">
        <is>
          <t>SA-12, SA-15, CM-1, CM-2, CM-6, AC-2, AC-3, AC-6, SA-11, AU-6, AU-12, SI-4</t>
        </is>
      </c>
      <c r="H11" s="24" t="inlineStr">
        <is>
          <t>2.2, 6.1, 6.2, 6.3, 6.5, 7.1, 10.1, 10.2, 10.3, 10.6, 12.2</t>
        </is>
      </c>
      <c r="I11" s="23" t="inlineStr">
        <is>
          <t>AIS-03</t>
        </is>
      </c>
      <c r="J11" s="80" t="inlineStr">
        <is>
          <t>1. Are CI/CD pipelines (Azure DevOps, GitHub) integrated with SAST/DAST scans to block insecure code?
2. Are secrets, credentials, and tokens stored in Azure Key Vault instead of source code/repos?
3. Are DevOps audit logs (pipeline events, org changes) exported to Sentinel or Log Analytics for monitoring?</t>
        </is>
      </c>
      <c r="K11" s="81" t="inlineStr">
        <is>
          <t>1. Pipeline definitions showing CodeQL/SAST/DAST steps ( azure-pipelines.yml, GitHub Actions YAML).
2. Azure Key Vault secret inventory ( az keyvault secret list ).
3. Azure DevOps/GitHub audit log export ( az devops audit-log list , GitHub audit log API).
4. Sentinel rules/alerts monitoring DevOps activity.</t>
        </is>
      </c>
      <c r="L11" s="4" t="n">
        <v>4</v>
      </c>
      <c r="M11" s="55" t="n"/>
      <c r="N11" s="23" t="n"/>
      <c r="O11" s="23" t="n"/>
      <c r="P11" s="23" t="n"/>
      <c r="Q11" s="23" t="n"/>
    </row>
    <row r="12" ht="237.75" customHeight="1">
      <c r="A12" s="4" t="inlineStr">
        <is>
          <t>CSF-AZ-GS-11</t>
        </is>
      </c>
      <c r="B12" s="3" t="inlineStr">
        <is>
          <t>Align organization roles, responsibilities and accountabilities</t>
        </is>
      </c>
      <c r="C12" s="3" t="inlineStr">
        <is>
          <t xml:space="preserve"> Ensure a multi-cloud strategy is defined in your cloud and security governance, risk management, and operation process which should include the following aspects:
Multi-cloud adoption: For organizations that operate multi-cloud infrastructure and Educate your organization to ensure teams understand the feature difference between the cloud platforms and technology stack. Build, deploy, and/or migrate solutions that are portable. Allow for ease of movement between cloud platforms with minimum vendor lock-in while utilizing cloud native features adequately for the optimal result from the cloud adoption.
Cloud and security operations: Streamline security operations to support the solutions across each cloud, through a central set of governance and management processes which share common operations processes, regardless of where the solution is deployed and operated.
Tooling and technology stack: Choose the appropriate tooling that supports multi-cloud environment to help with establishing unified and centralized management platforms which may include all the security domains discussed in this security benchmark.</t>
        </is>
      </c>
      <c r="D12" s="4" t="n"/>
      <c r="E12" s="18" t="inlineStr">
        <is>
          <t>GS-11</t>
        </is>
      </c>
      <c r="F12" s="4" t="inlineStr">
        <is>
          <t>N/A</t>
        </is>
      </c>
      <c r="G12" s="3" t="inlineStr">
        <is>
          <t>N/A</t>
        </is>
      </c>
      <c r="H12" s="3" t="inlineStr">
        <is>
          <t>N/A</t>
        </is>
      </c>
      <c r="I12" s="4" t="inlineStr">
        <is>
          <t>GRC-10</t>
        </is>
      </c>
      <c r="J12" s="82" t="inlineStr">
        <is>
          <t>1. Are multi-cloud connectors (AWS, GCP) enabled in Defender for Cloud for unified security posture?
2. Are policies and compliance frameworks (CIS, NIST, PCI) applied consistently across Azure, AWS, and GCP?
3. Is Secure Score or equivalent posture score tracked across clouds?</t>
        </is>
      </c>
      <c r="K12" s="79" t="inlineStr">
        <is>
          <t>1. Multicloud connector status ( az security connector list ).
2. Compliance exports from Defender for Cloud across providers.
3. Multi-cloud Secure Score dashboard export from Defender for Cloud CSPM.</t>
        </is>
      </c>
      <c r="L12" s="4" t="n">
        <v>3</v>
      </c>
      <c r="M12" s="34" t="n"/>
      <c r="N12" s="4" t="n"/>
      <c r="O12" s="4" t="n"/>
      <c r="P12" s="4" t="n"/>
      <c r="Q12" s="4" t="n"/>
    </row>
  </sheetData>
  <dataValidations count="1">
    <dataValidation sqref="N2:N11" showDropDown="0" showInputMessage="1" showErrorMessage="1" allowBlank="1" type="list">
      <formula1>"Complete,Partial,Non-Compliant"</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B3" sqref="B3"/>
    </sheetView>
  </sheetViews>
  <sheetFormatPr baseColWidth="8" defaultRowHeight="15"/>
  <cols>
    <col width="33.42578125" customWidth="1" min="1" max="1"/>
    <col width="106.7109375" customWidth="1" min="2" max="2"/>
  </cols>
  <sheetData>
    <row r="1">
      <c r="A1" s="1" t="n"/>
      <c r="B1" s="1" t="n"/>
    </row>
    <row r="2" ht="45" customHeight="1">
      <c r="A2" s="1" t="inlineStr">
        <is>
          <t xml:space="preserve">Azure Landing </t>
        </is>
      </c>
      <c r="B2" s="56" t="inlineStr">
        <is>
          <t>https://learn.microsoft.com/en-us/assessments/8fefc6d5-97ac-42b3-8e97-d82701e55bab/sessions/976e7e9d-4efa-48b8-b493-768d4283abc7?mode=guidance&amp;id=8fefc6d5-97ac-42b3-8e97-d82701e55bab&amp;session=976e7e9d-4efa-48b8-b493-768d4283abc7&amp;source=docs&amp;tab=tab-answersummary</t>
        </is>
      </c>
    </row>
    <row r="3">
      <c r="A3" s="1" t="inlineStr">
        <is>
          <t>MCSB</t>
        </is>
      </c>
      <c r="B3" s="57" t="inlineStr">
        <is>
          <t>https://learn.microsoft.com/en-us/security/benchmark/azure/mcsb-network-security</t>
        </is>
      </c>
    </row>
    <row r="4">
      <c r="A4" s="1" t="n"/>
      <c r="B4" s="1" t="n"/>
    </row>
    <row r="5">
      <c r="A5" s="1" t="n"/>
      <c r="B5" s="1" t="n"/>
    </row>
  </sheetData>
  <hyperlinks>
    <hyperlink xmlns:r="http://schemas.openxmlformats.org/officeDocument/2006/relationships" ref="B2" display="https://learn.microsoft.com/en-us/assessments/8fefc6d5-97ac-42b3-8e97-d82701e55bab/sessions/976e7e9d-4efa-48b8-b493-768d4283abc7?mode=guidance&amp;id=8fefc6d5-97ac-42b3-8e97-d82701e55bab&amp;session=976e7e9d-4efa-48b8-b493-768d4283abc7&amp;source=docs&amp;tab=tab-answersummary" r:id="rId1"/>
    <hyperlink xmlns:r="http://schemas.openxmlformats.org/officeDocument/2006/relationships" ref="B3"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2025-09-24T05:34:53Z</dcterms:created>
  <dcterms:modified xmlns:dcterms="http://purl.org/dc/terms/" xmlns:xsi="http://www.w3.org/2001/XMLSchema-instance" xsi:type="dcterms:W3CDTF">2025-11-11T16:23:57Z</dcterms:modified>
  <cp:lastModifiedBy>Derek Moore</cp:lastModifiedBy>
</cp:coreProperties>
</file>